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Inputs" sheetId="2" state="visible" r:id="rId2"/>
    <sheet name="Socios_36M" sheetId="3" state="visible" r:id="rId3"/>
    <sheet name="PnL_36M" sheetId="4" state="visible" r:id="rId4"/>
    <sheet name="Caja_Deuda" sheetId="5" state="visible" r:id="rId5"/>
    <sheet name="Valoracion" sheetId="6" state="visible" r:id="rId6"/>
    <sheet name="CapTable" sheetId="7" state="visible" r:id="rId7"/>
    <sheet name="UsoFondos" sheetId="8" state="visible" r:id="rId8"/>
    <sheet name="Checklist" sheetId="9" state="visible" r:id="rId9"/>
  </sheets>
  <definedNames/>
</workbook>
</file>

<file path=xl/styles.xml><?xml version="1.0" encoding="utf-8"?>
<styleSheet xmlns="http://schemas.openxmlformats.org/spreadsheetml/2006/main">
  <numFmts count="5">
    <numFmt numFmtId="164" formatCode="#,##0 €;[Red](#,##0 €);-"/>
    <numFmt numFmtId="165" formatCode="0.0%;[Red](0.0%);-"/>
    <numFmt numFmtId="166" formatCode="#,##0;[Red](#,##0);-"/>
    <numFmt numFmtId="167" formatCode="#,##0.00 €;[Red](#,##0.00 €);-"/>
    <numFmt numFmtId="168" formatCode="0.0x;[Red](0.0x);-"/>
  </numFmts>
  <fonts count="7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i val="1"/>
      <color rgb="FF4B5563"/>
      <sz val="11"/>
    </font>
    <font>
      <name val="Carlito"/>
      <i val="1"/>
      <color rgb="FF4B5563"/>
      <sz val="11"/>
    </font>
    <font>
      <name val="Carlito"/>
      <b val="1"/>
      <sz val="11"/>
    </font>
  </fonts>
  <fills count="7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FF2CC"/>
      </patternFill>
    </fill>
    <fill>
      <patternFill patternType="solid">
        <fgColor rgb="FFE5E7EB"/>
      </patternFill>
    </fill>
  </fills>
  <borders count="2">
    <border/>
    <border/>
  </borders>
  <cellStyleXfs count="1">
    <xf numFmtId="0" fontId="0" fillId="0" borderId="1"/>
  </cellStyleXfs>
  <cellXfs count="1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 vertical="center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horizontal="right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horizontal="right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  <xf numFmtId="0" fontId="4" fillId="4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wrapText="1"/>
    </xf>
    <xf numFmtId="0" fontId="4" fillId="4" borderId="1" applyAlignment="1" pivotButton="0" quotePrefix="0" xfId="0">
      <alignment horizontal="center" vertical="center" wrapText="1"/>
    </xf>
    <xf numFmtId="164" fontId="3" fillId="5" borderId="0" applyAlignment="1" pivotButton="0" quotePrefix="0" xfId="0">
      <alignment horizontal="right"/>
    </xf>
    <xf numFmtId="164" fontId="0" fillId="0" borderId="0" pivotButton="0" quotePrefix="0" xfId="0"/>
    <xf numFmtId="164" fontId="2" fillId="3" borderId="0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/>
    </xf>
    <xf numFmtId="164" fontId="0" fillId="0" borderId="1" pivotButton="0" quotePrefix="0" xfId="0"/>
    <xf numFmtId="164" fontId="2" fillId="3" borderId="1" applyAlignment="1" pivotButton="0" quotePrefix="0" xfId="0">
      <alignment horizontal="left" vertical="center"/>
    </xf>
    <xf numFmtId="165" fontId="3" fillId="5" borderId="0" applyAlignment="1" pivotButton="0" quotePrefix="0" xfId="0">
      <alignment horizontal="right"/>
    </xf>
    <xf numFmtId="165" fontId="3" fillId="5" borderId="1" applyAlignment="1" pivotButton="0" quotePrefix="0" xfId="0">
      <alignment horizontal="right"/>
    </xf>
    <xf numFmtId="1" fontId="3" fillId="5" borderId="0" applyAlignment="1" pivotButton="0" quotePrefix="0" xfId="0">
      <alignment horizontal="right"/>
    </xf>
    <xf numFmtId="1" fontId="3" fillId="5" borderId="1" applyAlignment="1" pivotButton="0" quotePrefix="0" xfId="0">
      <alignment horizontal="right"/>
    </xf>
    <xf numFmtId="166" fontId="3" fillId="5" borderId="0" applyAlignment="1" pivotButton="0" quotePrefix="0" xfId="0">
      <alignment horizontal="right"/>
    </xf>
    <xf numFmtId="166" fontId="3" fillId="5" borderId="1" applyAlignment="1" pivotButton="0" quotePrefix="0" xfId="0">
      <alignment horizontal="right"/>
    </xf>
    <xf numFmtId="167" fontId="3" fillId="5" borderId="0" applyAlignment="1" pivotButton="0" quotePrefix="0" xfId="0">
      <alignment horizontal="right"/>
    </xf>
    <xf numFmtId="167" fontId="3" fillId="5" borderId="1" applyAlignment="1" pivotButton="0" quotePrefix="0" xfId="0">
      <alignment horizontal="right"/>
    </xf>
    <xf numFmtId="168" fontId="3" fillId="5" borderId="0" applyAlignment="1" pivotButton="0" quotePrefix="0" xfId="0">
      <alignment horizontal="right"/>
    </xf>
    <xf numFmtId="168" fontId="3" fillId="5" borderId="1" applyAlignment="1" pivotButton="0" quotePrefix="0" xfId="0">
      <alignment horizontal="right"/>
    </xf>
    <xf numFmtId="1" fontId="0" fillId="0" borderId="0" pivotButton="0" quotePrefix="0" xfId="0"/>
    <xf numFmtId="1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5" fontId="0" fillId="5" borderId="0" pivotButton="0" quotePrefix="0" xfId="0"/>
    <xf numFmtId="165" fontId="3" fillId="5" borderId="0" pivotButton="0" quotePrefix="0" xfId="0"/>
    <xf numFmtId="165" fontId="0" fillId="5" borderId="1" pivotButton="0" quotePrefix="0" xfId="0"/>
    <xf numFmtId="165" fontId="3" fillId="5" borderId="1" pivotButton="0" quotePrefix="0" xfId="0"/>
    <xf numFmtId="0" fontId="0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6" fillId="6" borderId="0" pivotButton="0" quotePrefix="0" xfId="0"/>
    <xf numFmtId="165" fontId="6" fillId="6" borderId="0" pivotButton="0" quotePrefix="0" xfId="0"/>
    <xf numFmtId="164" fontId="6" fillId="6" borderId="0" pivotButton="0" quotePrefix="0" xfId="0"/>
    <xf numFmtId="0" fontId="0" fillId="6" borderId="1" pivotButton="0" quotePrefix="0" xfId="0"/>
    <xf numFmtId="165" fontId="0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5" fontId="6" fillId="6" borderId="1" pivotButton="0" quotePrefix="0" xfId="0"/>
    <xf numFmtId="164" fontId="6" fillId="6" borderId="1" pivotButton="0" quotePrefix="0" xfId="0"/>
    <xf numFmtId="164" fontId="0" fillId="5" borderId="0" pivotButton="0" quotePrefix="0" xfId="0"/>
    <xf numFmtId="164" fontId="3" fillId="5" borderId="0" pivotButton="0" quotePrefix="0" xfId="0"/>
    <xf numFmtId="164" fontId="0" fillId="5" borderId="1" pivotButton="0" quotePrefix="0" xfId="0"/>
    <xf numFmtId="164" fontId="3" fillId="5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6" fontId="0" fillId="0" borderId="0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4" fontId="3" fillId="5" borderId="0" applyAlignment="1" pivotButton="0" quotePrefix="0" xfId="0">
      <alignment horizontal="right"/>
    </xf>
    <xf numFmtId="165" fontId="3" fillId="5" borderId="0" applyAlignment="1" pivotButton="0" quotePrefix="0" xfId="0">
      <alignment horizontal="right"/>
    </xf>
    <xf numFmtId="1" fontId="3" fillId="5" borderId="0" applyAlignment="1" pivotButton="0" quotePrefix="0" xfId="0">
      <alignment horizontal="right"/>
    </xf>
    <xf numFmtId="164" fontId="2" fillId="3" borderId="0" applyAlignment="1" pivotButton="0" quotePrefix="0" xfId="0">
      <alignment horizontal="left" vertical="center"/>
    </xf>
    <xf numFmtId="166" fontId="3" fillId="5" borderId="0" applyAlignment="1" pivotButton="0" quotePrefix="0" xfId="0">
      <alignment horizontal="right"/>
    </xf>
    <xf numFmtId="167" fontId="3" fillId="5" borderId="0" applyAlignment="1" pivotButton="0" quotePrefix="0" xfId="0">
      <alignment horizontal="right"/>
    </xf>
    <xf numFmtId="168" fontId="3" fillId="5" borderId="0" applyAlignment="1" pivotButton="0" quotePrefix="0" xfId="0">
      <alignment horizontal="right"/>
    </xf>
    <xf numFmtId="1" fontId="0" fillId="0" borderId="0" pivotButton="0" quotePrefix="0" xfId="0"/>
    <xf numFmtId="165" fontId="0" fillId="0" borderId="0" pivotButton="0" quotePrefix="0" xfId="0"/>
    <xf numFmtId="165" fontId="6" fillId="6" borderId="0" pivotButton="0" quotePrefix="0" xfId="0"/>
    <xf numFmtId="164" fontId="6" fillId="6" borderId="0" pivotButton="0" quotePrefix="0" xfId="0"/>
  </cellXfs>
  <cellStyles count="1">
    <cellStyle name="Normal" xfId="0"/>
  </cellStyles>
  <dxfs count="1">
    <dxf>
      <font>
        <color rgb="FFB91C1C"/>
      </font>
      <fill>
        <patternFill patternType="solid">
          <bgColor rgb="FFFECAC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Socios 36 meses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Conservador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'Socios_36M'!$A$4:$A$39</f>
              <strCache>
                <ptCount val="0"/>
              </strCache>
            </strRef>
          </cat>
          <val>
            <numRef>
              <f>'Socios_36M'!$B$4:$B$39</f>
              <numCache>
                <formatCode>#,##0;[Red](#,##0);-</formatCode>
                <ptCount val="0"/>
              </numCache>
            </numRef>
          </val>
          <smooth val="0"/>
        </ser>
        <ser>
          <idx val="1"/>
          <order val="1"/>
          <tx>
            <v>Base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'Socios_36M'!$A$4:$A$39</f>
              <strCache>
                <ptCount val="0"/>
              </strCache>
            </strRef>
          </cat>
          <val>
            <numRef>
              <f>'Socios_36M'!$C$4:$C$39</f>
              <numCache>
                <formatCode>#,##0;[Red](#,##0);-</formatCode>
                <ptCount val="0"/>
              </numCache>
            </numRef>
          </val>
          <smooth val="0"/>
        </ser>
        <ser>
          <idx val="2"/>
          <order val="2"/>
          <tx>
            <v>Optimista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'Socios_36M'!$A$4:$A$39</f>
              <strCache>
                <ptCount val="0"/>
              </strCache>
            </strRef>
          </cat>
          <val>
            <numRef>
              <f>'Socios_36M'!$D$4:$D$39</f>
              <numCache>
                <formatCode>#,##0;[Red](#,##0);-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Socios activos por escenario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Conservador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'Socios_36M'!$A$4:$A$39</f>
              <strCache>
                <ptCount val="0"/>
              </strCache>
            </strRef>
          </cat>
          <val>
            <numRef>
              <f>'Socios_36M'!$B$4:$B$39</f>
              <numCache>
                <formatCode>#,##0;[Red](#,##0);-</formatCode>
                <ptCount val="0"/>
              </numCache>
            </numRef>
          </val>
          <smooth val="0"/>
        </ser>
        <ser>
          <idx val="1"/>
          <order val="1"/>
          <tx>
            <v>Base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'Socios_36M'!$A$4:$A$39</f>
              <strCache>
                <ptCount val="0"/>
              </strCache>
            </strRef>
          </cat>
          <val>
            <numRef>
              <f>'Socios_36M'!$C$4:$C$39</f>
              <numCache>
                <formatCode>#,##0;[Red](#,##0);-</formatCode>
                <ptCount val="0"/>
              </numCache>
            </numRef>
          </val>
          <smooth val="0"/>
        </ser>
        <ser>
          <idx val="2"/>
          <order val="2"/>
          <tx>
            <v>Optimista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'Socios_36M'!$A$4:$A$39</f>
              <strCache>
                <ptCount val="0"/>
              </strCache>
            </strRef>
          </cat>
          <val>
            <numRef>
              <f>'Socios_36M'!$D$4:$D$39</f>
              <numCache>
                <formatCode>#,##0;[Red](#,##0);-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Ingresos netos vs EBITDA mensual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Socios activos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'PnL_36M'!$A$4:$A$39</f>
              <strCache>
                <ptCount val="0"/>
              </strCache>
            </strRef>
          </cat>
          <val>
            <numRef>
              <f>'PnL_36M'!$B$4:$B$39</f>
              <numCache>
                <formatCode>#,##0;[Red](#,##0);-</formatCode>
                <ptCount val="0"/>
              </numCache>
            </numRef>
          </val>
          <smooth val="0"/>
        </ser>
        <ser>
          <idx val="1"/>
          <order val="1"/>
          <tx>
            <v>Ingresos cuotas netos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'PnL_36M'!$A$4:$A$39</f>
              <strCache>
                <ptCount val="0"/>
              </strCache>
            </strRef>
          </cat>
          <val>
            <numRef>
              <f>'PnL_36M'!$C$4:$C$39</f>
              <numCache>
                <formatCode>#,##0 €;[Red](#,##0 €);-</formatCode>
                <ptCount val="0"/>
              </numCache>
            </numRef>
          </val>
          <smooth val="0"/>
        </ser>
        <ser>
          <idx val="2"/>
          <order val="2"/>
          <tx>
            <v>Ingresos extra netos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'PnL_36M'!$A$4:$A$39</f>
              <strCache>
                <ptCount val="0"/>
              </strCache>
            </strRef>
          </cat>
          <val>
            <numRef>
              <f>'PnL_36M'!$D$4:$D$39</f>
              <numCache>
                <formatCode>#,##0 €;[Red](#,##0 €);-</formatCode>
                <ptCount val="0"/>
              </numCache>
            </numRef>
          </val>
          <smooth val="0"/>
        </ser>
        <ser>
          <idx val="3"/>
          <order val="3"/>
          <tx>
            <v>Ingresos netos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'PnL_36M'!$A$4:$A$39</f>
              <strCache>
                <ptCount val="0"/>
              </strCache>
            </strRef>
          </cat>
          <val>
            <numRef>
              <f>'PnL_36M'!$E$4:$E$39</f>
              <numCache>
                <formatCode>#,##0 €;[Red](#,##0 €);-</formatCode>
                <ptCount val="0"/>
              </numCache>
            </numRef>
          </val>
          <smooth val="0"/>
        </ser>
        <ser>
          <idx val="4"/>
          <order val="4"/>
          <tx>
            <v>Coste variable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'PnL_36M'!$A$4:$A$39</f>
              <strCache>
                <ptCount val="0"/>
              </strCache>
            </strRef>
          </cat>
          <val>
            <numRef>
              <f>'PnL_36M'!$F$4:$F$39</f>
              <numCache>
                <formatCode>#,##0 €;[Red](#,##0 €);-</formatCode>
                <ptCount val="0"/>
              </numCache>
            </numRef>
          </val>
          <smooth val="0"/>
        </ser>
        <ser>
          <idx val="5"/>
          <order val="5"/>
          <tx>
            <v>Costes fijos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'PnL_36M'!$A$4:$A$39</f>
              <strCache>
                <ptCount val="0"/>
              </strCache>
            </strRef>
          </cat>
          <val>
            <numRef>
              <f>'PnL_36M'!$G$4:$G$39</f>
              <numCache>
                <formatCode>#,##0 €;[Red](#,##0 €);-</formatCode>
                <ptCount val="0"/>
              </numCache>
            </numRef>
          </val>
          <smooth val="0"/>
        </ser>
        <ser>
          <idx val="6"/>
          <order val="6"/>
          <tx>
            <v>Renting maquinaria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'PnL_36M'!$A$4:$A$39</f>
              <strCache>
                <ptCount val="0"/>
              </strCache>
            </strRef>
          </cat>
          <val>
            <numRef>
              <f>'PnL_36M'!$H$4:$H$39</f>
              <numCache>
                <formatCode>#,##0 €;[Red](#,##0 €);-</formatCode>
                <ptCount val="0"/>
              </numCache>
            </numRef>
          </val>
          <smooth val="0"/>
        </ser>
        <ser>
          <idx val="7"/>
          <order val="7"/>
          <tx>
            <v>Marketing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'PnL_36M'!$A$4:$A$39</f>
              <strCache>
                <ptCount val="0"/>
              </strCache>
            </strRef>
          </cat>
          <val>
            <numRef>
              <f>'PnL_36M'!$I$4:$I$39</f>
              <numCache>
                <formatCode>#,##0 €;[Red](#,##0 €);-</formatCode>
                <ptCount val="0"/>
              </numCache>
            </numRef>
          </val>
          <smooth val="0"/>
        </ser>
        <ser>
          <idx val="8"/>
          <order val="8"/>
          <tx>
            <v>EBITDA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'PnL_36M'!$A$4:$A$39</f>
              <strCache>
                <ptCount val="0"/>
              </strCache>
            </strRef>
          </cat>
          <val>
            <numRef>
              <f>'PnL_36M'!$J$4:$J$39</f>
              <numCache>
                <formatCode>#,##0 €;[Red](#,##0 €);-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Caja acumulada y deuda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EBITDA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'Caja_Deuda'!$A$4:$A$39</f>
              <strCache>
                <ptCount val="0"/>
              </strCache>
            </strRef>
          </cat>
          <val>
            <numRef>
              <f>'Caja_Deuda'!$B$4:$B$39</f>
              <numCache>
                <formatCode>#,##0 €;[Red](#,##0 €);-</formatCode>
                <ptCount val="0"/>
              </numCache>
            </numRef>
          </val>
          <smooth val="0"/>
        </ser>
        <ser>
          <idx val="1"/>
          <order val="1"/>
          <tx>
            <v>Capex pendiente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'Caja_Deuda'!$A$4:$A$39</f>
              <strCache>
                <ptCount val="0"/>
              </strCache>
            </strRef>
          </cat>
          <val>
            <numRef>
              <f>'Caja_Deuda'!$C$4:$C$39</f>
              <numCache>
                <formatCode>#,##0 €;[Red](#,##0 €);-</formatCode>
                <ptCount val="0"/>
              </numCache>
            </numRef>
          </val>
          <smooth val="0"/>
        </ser>
        <ser>
          <idx val="2"/>
          <order val="2"/>
          <tx>
            <v>Saldo inicial deuda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'Caja_Deuda'!$A$4:$A$39</f>
              <strCache>
                <ptCount val="0"/>
              </strCache>
            </strRef>
          </cat>
          <val>
            <numRef>
              <f>'Caja_Deuda'!$D$4:$D$39</f>
              <numCache>
                <formatCode>#,##0 €;[Red](#,##0 €);-</formatCode>
                <ptCount val="0"/>
              </numCache>
            </numRef>
          </val>
          <smooth val="0"/>
        </ser>
        <ser>
          <idx val="3"/>
          <order val="3"/>
          <tx>
            <v>Interés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'Caja_Deuda'!$A$4:$A$39</f>
              <strCache>
                <ptCount val="0"/>
              </strCache>
            </strRef>
          </cat>
          <val>
            <numRef>
              <f>'Caja_Deuda'!$E$4:$E$39</f>
              <numCache>
                <formatCode>#,##0 €;[Red](#,##0 €);-</formatCode>
                <ptCount val="0"/>
              </numCache>
            </numRef>
          </val>
          <smooth val="0"/>
        </ser>
        <ser>
          <idx val="4"/>
          <order val="4"/>
          <tx>
            <v>Pago total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'Caja_Deuda'!$A$4:$A$39</f>
              <strCache>
                <ptCount val="0"/>
              </strCache>
            </strRef>
          </cat>
          <val>
            <numRef>
              <f>'Caja_Deuda'!$F$4:$F$39</f>
              <numCache>
                <formatCode>#,##0 €;[Red](#,##0 €);-</formatCode>
                <ptCount val="0"/>
              </numCache>
            </numRef>
          </val>
          <smooth val="0"/>
        </ser>
        <ser>
          <idx val="5"/>
          <order val="5"/>
          <tx>
            <v>Amortización capital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'Caja_Deuda'!$A$4:$A$39</f>
              <strCache>
                <ptCount val="0"/>
              </strCache>
            </strRef>
          </cat>
          <val>
            <numRef>
              <f>'Caja_Deuda'!$G$4:$G$39</f>
              <numCache>
                <formatCode>#,##0 €;[Red](#,##0 €);-</formatCode>
                <ptCount val="0"/>
              </numCache>
            </numRef>
          </val>
          <smooth val="0"/>
        </ser>
        <ser>
          <idx val="6"/>
          <order val="6"/>
          <tx>
            <v>Saldo final deuda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'Caja_Deuda'!$A$4:$A$39</f>
              <strCache>
                <ptCount val="0"/>
              </strCache>
            </strRef>
          </cat>
          <val>
            <numRef>
              <f>'Caja_Deuda'!$H$4:$H$39</f>
              <numCache>
                <formatCode>#,##0 €;[Red](#,##0 €);-</formatCode>
                <ptCount val="0"/>
              </numCache>
            </numRef>
          </val>
          <smooth val="0"/>
        </ser>
        <ser>
          <idx val="7"/>
          <order val="7"/>
          <tx>
            <v>Cash flow mensual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'Caja_Deuda'!$A$4:$A$39</f>
              <strCache>
                <ptCount val="0"/>
              </strCache>
            </strRef>
          </cat>
          <val>
            <numRef>
              <f>'Caja_Deuda'!$I$4:$I$39</f>
              <numCache>
                <formatCode>#,##0 €;[Red](#,##0 €);-</formatCode>
                <ptCount val="0"/>
              </numCache>
            </numRef>
          </val>
          <smooth val="0"/>
        </ser>
        <ser>
          <idx val="8"/>
          <order val="8"/>
          <tx>
            <v>Caja acumulada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'Caja_Deuda'!$A$4:$A$39</f>
              <strCache>
                <ptCount val="0"/>
              </strCache>
            </strRef>
          </cat>
          <val>
            <numRef>
              <f>'Caja_Deuda'!$J$4:$J$39</f>
              <numCache>
                <formatCode>#,##0 €;[Red](#,##0 €);-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Rango de valoración por método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Conservador</v>
          </tx>
          <spPr>
            <a:ln>
              <a:prstDash val="solid"/>
            </a:ln>
          </spPr>
          <cat>
            <strRef>
              <f>'Valoracion'!$A$4:$A$9</f>
              <strCache>
                <ptCount val="0"/>
              </strCache>
            </strRef>
          </cat>
          <val>
            <numRef>
              <f>'Valoracion'!$B$4:$B$9</f>
              <numCache>
                <formatCode>#,##0 €;[Red](#,##0 €);-</formatCode>
                <ptCount val="0"/>
              </numCache>
            </numRef>
          </val>
        </ser>
        <ser>
          <idx val="1"/>
          <order val="1"/>
          <tx>
            <v>Base</v>
          </tx>
          <spPr>
            <a:ln>
              <a:prstDash val="solid"/>
            </a:ln>
          </spPr>
          <cat>
            <strRef>
              <f>'Valoracion'!$A$4:$A$9</f>
              <strCache>
                <ptCount val="0"/>
              </strCache>
            </strRef>
          </cat>
          <val>
            <numRef>
              <f>'Valoracion'!$C$4:$C$9</f>
              <numCache>
                <formatCode>#,##0 €;[Red](#,##0 €);-</formatCode>
                <ptCount val="0"/>
              </numCache>
            </numRef>
          </val>
        </ser>
        <ser>
          <idx val="2"/>
          <order val="2"/>
          <tx>
            <v>Optimista</v>
          </tx>
          <spPr>
            <a:ln>
              <a:prstDash val="solid"/>
            </a:ln>
          </spPr>
          <cat>
            <strRef>
              <f>'Valoracion'!$A$4:$A$9</f>
              <strCache>
                <ptCount val="0"/>
              </strCache>
            </strRef>
          </cat>
          <val>
            <numRef>
              <f>'Valoracion'!$D$4:$D$9</f>
              <numCache>
                <formatCode>#,##0 €;[Red](#,##0 €);-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% después de inversión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% antes</v>
          </tx>
          <spPr>
            <a:ln>
              <a:prstDash val="solid"/>
            </a:ln>
          </spPr>
          <cat>
            <strRef>
              <f>'CapTable'!$A$4:$A$9</f>
              <strCache>
                <ptCount val="0"/>
              </strCache>
            </strRef>
          </cat>
          <val>
            <numRef>
              <f>'CapTable'!$B$4:$B$9</f>
              <numCache>
                <formatCode>0.0%;[Red](0.0%);-</formatCode>
                <ptCount val="0"/>
              </numCache>
            </numRef>
          </val>
        </ser>
        <ser>
          <idx val="1"/>
          <order val="1"/>
          <tx>
            <v>Valor antes</v>
          </tx>
          <spPr>
            <a:ln>
              <a:prstDash val="solid"/>
            </a:ln>
          </spPr>
          <cat>
            <strRef>
              <f>'CapTable'!$A$4:$A$9</f>
              <strCache>
                <ptCount val="0"/>
              </strCache>
            </strRef>
          </cat>
          <val>
            <numRef>
              <f>'CapTable'!$C$4:$C$9</f>
              <numCache>
                <formatCode>#,##0 €;[Red](#,##0 €);-</formatCode>
                <ptCount val="0"/>
              </numCache>
            </numRef>
          </val>
        </ser>
        <ser>
          <idx val="2"/>
          <order val="2"/>
          <tx>
            <v>Inversión nueva</v>
          </tx>
          <spPr>
            <a:ln>
              <a:prstDash val="solid"/>
            </a:ln>
          </spPr>
          <cat>
            <strRef>
              <f>'CapTable'!$A$4:$A$9</f>
              <strCache>
                <ptCount val="0"/>
              </strCache>
            </strRef>
          </cat>
          <val>
            <numRef>
              <f>'CapTable'!$D$4:$D$9</f>
              <numCache>
                <formatCode>#,##0 €;[Red](#,##0 €);-</formatCode>
                <ptCount val="0"/>
              </numCache>
            </numRef>
          </val>
        </ser>
        <ser>
          <idx val="3"/>
          <order val="3"/>
          <tx>
            <v>% nuevo inversor</v>
          </tx>
          <spPr>
            <a:ln>
              <a:prstDash val="solid"/>
            </a:ln>
          </spPr>
          <cat>
            <strRef>
              <f>'CapTable'!$A$4:$A$9</f>
              <strCache>
                <ptCount val="0"/>
              </strCache>
            </strRef>
          </cat>
          <val>
            <numRef>
              <f>'CapTable'!$E$4:$E$9</f>
              <numCache>
                <formatCode>0.0%;[Red](0.0%);-</formatCode>
                <ptCount val="0"/>
              </numCache>
            </numRef>
          </val>
        </ser>
        <ser>
          <idx val="4"/>
          <order val="4"/>
          <tx>
            <v>% después</v>
          </tx>
          <spPr>
            <a:ln>
              <a:prstDash val="solid"/>
            </a:ln>
          </spPr>
          <cat>
            <strRef>
              <f>'CapTable'!$A$4:$A$9</f>
              <strCache>
                <ptCount val="0"/>
              </strCache>
            </strRef>
          </cat>
          <val>
            <numRef>
              <f>'CapTable'!$F$4:$F$9</f>
              <numCache>
                <formatCode>0.0%;[Red](0.0%);-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Distribución uso de fondos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Importe</v>
          </tx>
          <spPr>
            <a:ln>
              <a:prstDash val="solid"/>
            </a:ln>
          </spPr>
          <cat>
            <strRef>
              <f>'UsoFondos'!$A$4:$A$7</f>
              <strCache>
                <ptCount val="0"/>
              </strCache>
            </strRef>
          </cat>
          <val>
            <numRef>
              <f>'UsoFondos'!$B$4:$B$7</f>
              <numCache>
                <formatCode>#,##0 €;[Red](#,##0 €);-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18</row>
      <rowOff>0</rowOff>
    </from>
    <to>
      <col>8</col>
      <colOff>0</colOff>
      <row>36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0</colOff>
      <row>2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14</col>
      <colOff>0</colOff>
      <row>2</row>
      <rowOff>0</rowOff>
    </from>
    <to>
      <col>23</col>
      <colOff>0</colOff>
      <row>20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12</col>
      <colOff>0</colOff>
      <row>2</row>
      <rowOff>0</rowOff>
    </from>
    <to>
      <col>21</col>
      <colOff>0</colOff>
      <row>20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2</row>
      <rowOff>0</rowOff>
    </from>
    <to>
      <col>16</col>
      <colOff>0</colOff>
      <row>20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2</row>
      <rowOff>0</rowOff>
    </from>
    <to>
      <col>17</col>
      <colOff>0</colOff>
      <row>20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0</colOff>
      <row>2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45" customWidth="1" min="4" max="4"/>
    <col width="30" customWidth="1" min="6" max="6"/>
    <col width="18" customWidth="1" min="7" max="7"/>
    <col width="12" customWidth="1" min="8" max="8"/>
  </cols>
  <sheetData>
    <row r="1" ht="28" customHeight="1">
      <c r="A1" s="9" t="inlineStr">
        <is>
          <t>LEGION CLUB / CARO LEGION S.L. - Panel para financiación e inversores</t>
        </is>
      </c>
      <c r="B1" s="1" t="n"/>
      <c r="C1" s="1" t="n"/>
      <c r="D1" s="1" t="n"/>
      <c r="E1" s="1" t="n"/>
      <c r="F1" s="1" t="n"/>
      <c r="G1" s="1" t="n"/>
      <c r="H1" s="1" t="n"/>
    </row>
    <row r="3" ht="22" customHeight="1">
      <c r="A3" s="11" t="inlineStr">
        <is>
          <t>Versión base de trabajo: los datos amarillos del libro deben sustituirse por datos reales antes de presentar a terceros.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" t="inlineStr">
        <is>
          <t>Resumen BASE</t>
        </is>
      </c>
      <c r="B5" s="1" t="n"/>
      <c r="C5" s="1" t="n"/>
      <c r="D5" s="1" t="n"/>
      <c r="F5" s="19" t="inlineStr">
        <is>
          <t>Lectura rápida</t>
        </is>
      </c>
      <c r="G5" s="1" t="n"/>
      <c r="H5" s="1" t="n"/>
    </row>
    <row r="6">
      <c r="A6" s="10" t="inlineStr">
        <is>
          <t>Importe buscado</t>
        </is>
      </c>
      <c r="B6" s="96">
        <f>Inputs!$B$6</f>
        <v/>
      </c>
      <c r="C6" s="10" t="inlineStr">
        <is>
          <t>€</t>
        </is>
      </c>
      <c r="D6" s="10" t="inlineStr">
        <is>
          <t>Cantidad a pedir.</t>
        </is>
      </c>
      <c r="F6" t="inlineStr">
        <is>
          <t>Punto muerto aproximado</t>
        </is>
      </c>
      <c r="G6" s="97">
        <f>(Inputs!$B$16+Inputs!$B$17+Inputs!$C$30)/(Inputs!$C$27/(1+Inputs!$B$12)-Inputs!$C$29)</f>
        <v/>
      </c>
      <c r="H6" t="inlineStr">
        <is>
          <t>socios</t>
        </is>
      </c>
    </row>
    <row r="7">
      <c r="A7" s="10" t="inlineStr">
        <is>
          <t>Pre-money propuesta</t>
        </is>
      </c>
      <c r="B7" s="96">
        <f>Inputs!$B$7</f>
        <v/>
      </c>
      <c r="C7" s="10" t="inlineStr">
        <is>
          <t>€</t>
        </is>
      </c>
      <c r="D7" s="10" t="inlineStr">
        <is>
          <t>Valoración antes de inversión.</t>
        </is>
      </c>
      <c r="F7" t="inlineStr">
        <is>
          <t>Deuda simulada</t>
        </is>
      </c>
      <c r="G7" s="98">
        <f>Inputs!$B$6</f>
        <v/>
      </c>
      <c r="H7" t="inlineStr">
        <is>
          <t>€</t>
        </is>
      </c>
    </row>
    <row r="8">
      <c r="A8" s="10" t="inlineStr">
        <is>
          <t>% inversor estimado</t>
        </is>
      </c>
      <c r="B8" s="99">
        <f>Inputs!$B$6/(Inputs!$B$6+Inputs!$B$7)</f>
        <v/>
      </c>
      <c r="C8" s="10" t="inlineStr">
        <is>
          <t>%</t>
        </is>
      </c>
      <c r="D8" s="10" t="inlineStr">
        <is>
          <t>Si entra como capital.</t>
        </is>
      </c>
      <c r="F8" t="inlineStr">
        <is>
          <t>Pago mensual post-carencia</t>
        </is>
      </c>
      <c r="G8" s="98">
        <f>-PMT(Inputs!$B$9/12,Inputs!$B$10-Inputs!$B$11,Inputs!$B$6)</f>
        <v/>
      </c>
      <c r="H8" t="inlineStr">
        <is>
          <t>€/mes</t>
        </is>
      </c>
    </row>
    <row r="9">
      <c r="A9" s="10" t="inlineStr">
        <is>
          <t>Socios mes 12</t>
        </is>
      </c>
      <c r="B9" s="100">
        <f>Socios_36M!C15</f>
        <v/>
      </c>
      <c r="C9" s="10" t="inlineStr">
        <is>
          <t>socios</t>
        </is>
      </c>
      <c r="D9" s="10" t="inlineStr">
        <is>
          <t>Escenario base.</t>
        </is>
      </c>
      <c r="F9" t="inlineStr">
        <is>
          <t>Post-money simulado</t>
        </is>
      </c>
      <c r="G9" s="98">
        <f>Inputs!$B$6+Inputs!$B$7</f>
        <v/>
      </c>
      <c r="H9" t="inlineStr">
        <is>
          <t>€</t>
        </is>
      </c>
    </row>
    <row r="10">
      <c r="A10" s="10" t="inlineStr">
        <is>
          <t>Socios mes 24</t>
        </is>
      </c>
      <c r="B10" s="100">
        <f>Socios_36M!C27</f>
        <v/>
      </c>
      <c r="C10" s="10" t="inlineStr">
        <is>
          <t>socios</t>
        </is>
      </c>
      <c r="D10" s="10" t="inlineStr">
        <is>
          <t>Escenario base.</t>
        </is>
      </c>
    </row>
    <row r="11">
      <c r="A11" s="10" t="inlineStr">
        <is>
          <t>Socios mes 36</t>
        </is>
      </c>
      <c r="B11" s="100">
        <f>Socios_36M!C39</f>
        <v/>
      </c>
      <c r="C11" s="10" t="inlineStr">
        <is>
          <t>socios</t>
        </is>
      </c>
      <c r="D11" s="10" t="inlineStr">
        <is>
          <t>Escenario base.</t>
        </is>
      </c>
    </row>
    <row r="12">
      <c r="A12" s="10" t="inlineStr">
        <is>
          <t>Ingresos netos mes 12</t>
        </is>
      </c>
      <c r="B12" s="96">
        <f>PnL_36M!E15</f>
        <v/>
      </c>
      <c r="C12" s="10" t="inlineStr">
        <is>
          <t>€</t>
        </is>
      </c>
      <c r="D12" s="10" t="inlineStr">
        <is>
          <t>Sin IVA.</t>
        </is>
      </c>
    </row>
    <row r="13">
      <c r="A13" s="10" t="inlineStr">
        <is>
          <t>EBITDA mes 12</t>
        </is>
      </c>
      <c r="B13" s="96">
        <f>PnL_36M!J15</f>
        <v/>
      </c>
      <c r="C13" s="10" t="inlineStr">
        <is>
          <t>€</t>
        </is>
      </c>
      <c r="D13" s="10" t="inlineStr">
        <is>
          <t>Antes de deuda/capex.</t>
        </is>
      </c>
    </row>
    <row r="14">
      <c r="A14" s="10" t="inlineStr">
        <is>
          <t>EBITDA mes 36</t>
        </is>
      </c>
      <c r="B14" s="96">
        <f>PnL_36M!J39</f>
        <v/>
      </c>
      <c r="C14" s="10" t="inlineStr">
        <is>
          <t>€</t>
        </is>
      </c>
      <c r="D14" s="10" t="inlineStr">
        <is>
          <t>Estabilizado orientativo.</t>
        </is>
      </c>
    </row>
    <row r="15">
      <c r="A15" s="10" t="inlineStr">
        <is>
          <t>Caja acumulada mes 36</t>
        </is>
      </c>
      <c r="B15" s="96">
        <f>Caja_Deuda!J39</f>
        <v/>
      </c>
      <c r="C15" s="10" t="inlineStr">
        <is>
          <t>€</t>
        </is>
      </c>
      <c r="D15" s="10" t="inlineStr">
        <is>
          <t>Después de capex y deuda.</t>
        </is>
      </c>
    </row>
    <row r="16">
      <c r="A16" s="10" t="inlineStr">
        <is>
          <t>Valoración base sugerida</t>
        </is>
      </c>
      <c r="B16" s="96">
        <f>Valoracion!C9</f>
        <v/>
      </c>
      <c r="C16" s="10" t="inlineStr">
        <is>
          <t>€</t>
        </is>
      </c>
      <c r="D16" s="10" t="inlineStr">
        <is>
          <t>Promedio de métodos.</t>
        </is>
      </c>
    </row>
  </sheetData>
  <mergeCells count="4">
    <mergeCell ref="A5:D5"/>
    <mergeCell ref="A3:H3"/>
    <mergeCell ref="F5:H5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4" customWidth="1" min="5" max="5"/>
    <col width="55" customWidth="1" min="6" max="6"/>
  </cols>
  <sheetData>
    <row r="1" ht="28" customHeight="1">
      <c r="A1" s="9" t="inlineStr">
        <is>
          <t>Modelo financiero LEGION - Supuestos editables</t>
        </is>
      </c>
      <c r="B1" s="1" t="n"/>
      <c r="C1" s="1" t="n"/>
      <c r="D1" s="1" t="n"/>
      <c r="E1" s="1" t="n"/>
      <c r="F1" s="1" t="n"/>
    </row>
    <row r="3" ht="22" customHeight="1">
      <c r="A3" s="11" t="inlineStr">
        <is>
          <t>Cómo usar esta hoja: las celdas amarillas/azules son supuestos editables. Las fórmulas tiran de estos datos. Sustituye los valores por los reales antes de enseñar el modelo a prestamistas o inversores.</t>
        </is>
      </c>
      <c r="B3" s="1" t="n"/>
      <c r="C3" s="1" t="n"/>
      <c r="D3" s="1" t="n"/>
      <c r="E3" s="1" t="n"/>
      <c r="F3" s="1" t="n"/>
    </row>
    <row r="5">
      <c r="A5" s="15" t="inlineStr">
        <is>
          <t>Financiación y valoración</t>
        </is>
      </c>
      <c r="B5" s="15" t="str"/>
      <c r="C5" s="15" t="str"/>
      <c r="D5" s="15" t="str"/>
      <c r="E5" s="15" t="str"/>
      <c r="F5" s="37" t="str"/>
    </row>
    <row r="6">
      <c r="A6" t="inlineStr">
        <is>
          <t>Importe buscado</t>
        </is>
      </c>
      <c r="B6" s="101" t="n">
        <v>245474</v>
      </c>
      <c r="E6" t="inlineStr">
        <is>
          <t>€</t>
        </is>
      </c>
      <c r="F6" s="38" t="inlineStr">
        <is>
          <t>Editable: dinero que quieres pedir ahora.</t>
        </is>
      </c>
    </row>
    <row r="7">
      <c r="A7" t="inlineStr">
        <is>
          <t>Valoración pre-money propuesta</t>
        </is>
      </c>
      <c r="B7" s="101" t="n">
        <v>500000</v>
      </c>
      <c r="E7" t="inlineStr">
        <is>
          <t>€</t>
        </is>
      </c>
      <c r="F7" s="38" t="inlineStr">
        <is>
          <t>Borrador prudente para simular entrada de inversor; debe validarse.</t>
        </is>
      </c>
    </row>
    <row r="8">
      <c r="A8" t="inlineStr">
        <is>
          <t>Caja inicial disponible</t>
        </is>
      </c>
      <c r="B8" s="101" t="n">
        <v>63246</v>
      </c>
      <c r="E8" t="inlineStr">
        <is>
          <t>€</t>
        </is>
      </c>
      <c r="F8" s="38" t="inlineStr">
        <is>
          <t>Introduce tesorería real antes de apertura.</t>
        </is>
      </c>
    </row>
    <row r="9">
      <c r="A9" t="inlineStr">
        <is>
          <t>Tipo interés préstamo anual</t>
        </is>
      </c>
      <c r="B9" s="102" t="n">
        <v>0.06</v>
      </c>
      <c r="E9" t="inlineStr">
        <is>
          <t>%</t>
        </is>
      </c>
      <c r="F9" s="38" t="inlineStr">
        <is>
          <t>Supuesto editable para préstamo privado.</t>
        </is>
      </c>
    </row>
    <row r="10">
      <c r="A10" t="inlineStr">
        <is>
          <t>Plazo préstamo</t>
        </is>
      </c>
      <c r="B10" s="102" t="n">
        <v>84</v>
      </c>
      <c r="E10" t="inlineStr">
        <is>
          <t>meses</t>
        </is>
      </c>
      <c r="F10" s="38" t="inlineStr">
        <is>
          <t>Plazo total de devolución.</t>
        </is>
      </c>
    </row>
    <row r="11">
      <c r="A11" t="inlineStr">
        <is>
          <t>Carencia préstamo</t>
        </is>
      </c>
      <c r="B11" s="103" t="n">
        <v>12</v>
      </c>
      <c r="E11" t="inlineStr">
        <is>
          <t>meses</t>
        </is>
      </c>
      <c r="F11" s="38" t="inlineStr">
        <is>
          <t>Meses sin amortizar capital.</t>
        </is>
      </c>
    </row>
    <row r="12">
      <c r="A12" t="inlineStr">
        <is>
          <t>IVA aplicable</t>
        </is>
      </c>
      <c r="B12" s="103" t="n">
        <v>0.21</v>
      </c>
      <c r="E12" t="inlineStr">
        <is>
          <t>%</t>
        </is>
      </c>
      <c r="F12" s="38" t="inlineStr">
        <is>
          <t>Validar con gestoría antes de enviar.</t>
        </is>
      </c>
    </row>
    <row r="13">
      <c r="A13" t="inlineStr">
        <is>
          <t>Impuesto sociedades</t>
        </is>
      </c>
      <c r="B13" s="101" t="n">
        <v>0.25</v>
      </c>
      <c r="E13" t="inlineStr">
        <is>
          <t>%</t>
        </is>
      </c>
      <c r="F13" s="38" t="inlineStr">
        <is>
          <t>Validar con gestoría; no se aplica en todos los cálculos.</t>
        </is>
      </c>
    </row>
    <row r="14">
      <c r="B14" s="98" t="str"/>
      <c r="F14" s="38" t="str"/>
    </row>
    <row r="15">
      <c r="A15" t="inlineStr">
        <is>
          <t>Costes y activos conocidos</t>
        </is>
      </c>
      <c r="B15" s="98" t="str"/>
      <c r="F15" s="38" t="str"/>
    </row>
    <row r="16">
      <c r="A16" s="15" t="inlineStr">
        <is>
          <t>Coste fijo operativo mensual objetivo</t>
        </is>
      </c>
      <c r="B16" s="104" t="n">
        <v>9000</v>
      </c>
      <c r="C16" s="15" t="str"/>
      <c r="D16" s="15" t="str"/>
      <c r="E16" s="15" t="inlineStr">
        <is>
          <t>€/mes</t>
        </is>
      </c>
      <c r="F16" s="37" t="inlineStr">
        <is>
          <t>Real estimado: alquiler (2.600) + personal minimo (Sergi+2) + servicios/seguros/gestoria.</t>
        </is>
      </c>
    </row>
    <row r="17">
      <c r="A17" t="inlineStr">
        <is>
          <t>Renting maquinaria mensual</t>
        </is>
      </c>
      <c r="B17" s="101" t="n">
        <v>0</v>
      </c>
      <c r="E17" t="inlineStr">
        <is>
          <t>€/mes</t>
        </is>
      </c>
      <c r="F17" s="38" t="inlineStr">
        <is>
          <t>La maquinaria es propiedad de la sociedad (comprada), no hay renting.</t>
        </is>
      </c>
    </row>
    <row r="18">
      <c r="A18" t="inlineStr">
        <is>
          <t>Inversión pendiente antes de abrir</t>
        </is>
      </c>
      <c r="B18" s="101" t="n">
        <v>308720</v>
      </c>
      <c r="E18" t="inlineStr">
        <is>
          <t>€</t>
        </is>
      </c>
      <c r="F18" s="38" t="inlineStr">
        <is>
          <t>Real: total pendiente de pago segun control de obra (climatizacion, electrica, maquinaria, vestuarios, accesos).</t>
        </is>
      </c>
    </row>
    <row r="19">
      <c r="A19" t="inlineStr">
        <is>
          <t>Inversión socios / fondos aportados</t>
        </is>
      </c>
      <c r="B19" s="101" t="n">
        <v>180750</v>
      </c>
      <c r="E19" t="inlineStr">
        <is>
          <t>€</t>
        </is>
      </c>
      <c r="F19" s="38" t="inlineStr">
        <is>
          <t>Real: inversion ya ejecutada y pagada por los socios (banco), a fecha de este documento.</t>
        </is>
      </c>
    </row>
    <row r="20">
      <c r="A20" t="inlineStr">
        <is>
          <t>Activos/compromisos identificados</t>
        </is>
      </c>
      <c r="B20" s="101" t="n">
        <v>106008</v>
      </c>
      <c r="E20" t="inlineStr">
        <is>
          <t>€</t>
        </is>
      </c>
      <c r="F20" s="38" t="inlineStr">
        <is>
          <t>Real: maquinaria HSE 85.438 EUR (pagado+pendiente) + suelo/pavimento 20.570 EUR.</t>
        </is>
      </c>
    </row>
    <row r="21">
      <c r="A21" t="inlineStr">
        <is>
          <t>Valor intangible preapertura</t>
        </is>
      </c>
      <c r="B21" s="101" t="n">
        <v>25000</v>
      </c>
      <c r="E21" t="inlineStr">
        <is>
          <t>€</t>
        </is>
      </c>
      <c r="F21" s="38" t="inlineStr">
        <is>
          <t>Estimacion prudente: marca, 230 preinscripciones, app, proveedores.</t>
        </is>
      </c>
    </row>
    <row r="22">
      <c r="B22" s="101" t="str"/>
      <c r="F22" s="38" t="str"/>
    </row>
    <row r="23">
      <c r="A23" s="23" t="inlineStr">
        <is>
          <t>Escenarios de socios e ingresos</t>
        </is>
      </c>
      <c r="B23" s="23" t="inlineStr">
        <is>
          <t>Conservador</t>
        </is>
      </c>
      <c r="C23" s="23" t="inlineStr">
        <is>
          <t>Base</t>
        </is>
      </c>
      <c r="D23" s="23" t="inlineStr">
        <is>
          <t>Optimista</t>
        </is>
      </c>
      <c r="E23" s="23" t="inlineStr">
        <is>
          <t>Unidad</t>
        </is>
      </c>
      <c r="F23" s="39" t="inlineStr">
        <is>
          <t>Nota</t>
        </is>
      </c>
    </row>
    <row r="24">
      <c r="A24" t="inlineStr">
        <is>
          <t>Socios iniciales mes 1</t>
        </is>
      </c>
      <c r="B24" s="105" t="n">
        <v>180</v>
      </c>
      <c r="C24" s="105" t="n">
        <v>230</v>
      </c>
      <c r="D24" s="105" t="n">
        <v>260</v>
      </c>
      <c r="E24" t="inlineStr">
        <is>
          <t>socios</t>
        </is>
      </c>
      <c r="F24" s="38" t="inlineStr">
        <is>
          <t>Real: 230 preinscritos a la fecha (sigue creciendo, aun sin abrir). Facturan desde el dia 1 de apertura.</t>
        </is>
      </c>
    </row>
    <row r="25">
      <c r="A25" t="inlineStr">
        <is>
          <t>Altas brutas mensuales</t>
        </is>
      </c>
      <c r="B25" s="105" t="n">
        <v>30</v>
      </c>
      <c r="C25" s="105" t="n">
        <v>45</v>
      </c>
      <c r="D25" s="105" t="n">
        <v>60</v>
      </c>
      <c r="E25" t="inlineStr">
        <is>
          <t>socios/mes</t>
        </is>
      </c>
      <c r="F25" s="38" t="inlineStr">
        <is>
          <t>Nuevas altas antes de bajas.</t>
        </is>
      </c>
    </row>
    <row r="26">
      <c r="A26" t="inlineStr">
        <is>
          <t>Baja/churn mensual</t>
        </is>
      </c>
      <c r="B26" s="102" t="n">
        <v>0.045</v>
      </c>
      <c r="C26" s="102" t="n">
        <v>0.03</v>
      </c>
      <c r="D26" s="102" t="n">
        <v>0.02</v>
      </c>
      <c r="E26" t="inlineStr">
        <is>
          <t>%</t>
        </is>
      </c>
      <c r="F26" s="38" t="inlineStr">
        <is>
          <t>Porcentaje de socios que se dan de baja cada mes.</t>
        </is>
      </c>
    </row>
    <row r="27">
      <c r="A27" t="inlineStr">
        <is>
          <t>Cuota media mensual IVA incluido</t>
        </is>
      </c>
      <c r="B27" s="106" t="n">
        <v>42</v>
      </c>
      <c r="C27" s="106" t="n">
        <v>50</v>
      </c>
      <c r="D27" s="106" t="n">
        <v>55</v>
      </c>
      <c r="E27" t="inlineStr">
        <is>
          <t>€/socio/mes</t>
        </is>
      </c>
      <c r="F27" s="38" t="inlineStr">
        <is>
          <t>Base 50 EUR/mes IVA incl., consistente con el resto de documentos del proyecto.</t>
        </is>
      </c>
    </row>
    <row r="28">
      <c r="A28" t="inlineStr">
        <is>
          <t>Ingresos extra medios IVA incluido</t>
        </is>
      </c>
      <c r="B28" s="106" t="n">
        <v>2</v>
      </c>
      <c r="C28" s="106" t="n">
        <v>4</v>
      </c>
      <c r="D28" s="106" t="n">
        <v>6</v>
      </c>
      <c r="E28" t="inlineStr">
        <is>
          <t>€/socio/mes</t>
        </is>
      </c>
      <c r="F28" s="38" t="inlineStr">
        <is>
          <t>Vending, coaching, extras prorrateados. Ajustar.</t>
        </is>
      </c>
    </row>
    <row r="29">
      <c r="A29" t="inlineStr">
        <is>
          <t>Coste variable por socio</t>
        </is>
      </c>
      <c r="B29" s="106" t="n">
        <v>3</v>
      </c>
      <c r="C29" s="106" t="n">
        <v>4</v>
      </c>
      <c r="D29" s="106" t="n">
        <v>5</v>
      </c>
      <c r="E29" t="inlineStr">
        <is>
          <t>€/socio/mes</t>
        </is>
      </c>
      <c r="F29" s="38" t="inlineStr">
        <is>
          <t>Comisiones, limpieza variable, consumibles, etc.</t>
        </is>
      </c>
    </row>
    <row r="30">
      <c r="A30" t="inlineStr">
        <is>
          <t>Marketing mensual recurrente</t>
        </is>
      </c>
      <c r="B30" s="101" t="n">
        <v>1500</v>
      </c>
      <c r="C30" s="101" t="n">
        <v>2000</v>
      </c>
      <c r="D30" s="101" t="n">
        <v>2500</v>
      </c>
      <c r="E30" t="inlineStr">
        <is>
          <t>€/mes</t>
        </is>
      </c>
      <c r="F30" s="38" t="inlineStr">
        <is>
          <t>Después del lanzamiento.</t>
        </is>
      </c>
    </row>
    <row r="31">
      <c r="A31" t="inlineStr">
        <is>
          <t>Capacidad máxima realista</t>
        </is>
      </c>
      <c r="B31" s="105" t="n">
        <v>800</v>
      </c>
      <c r="C31" s="105" t="n">
        <v>1200</v>
      </c>
      <c r="D31" s="105" t="n">
        <v>1500</v>
      </c>
      <c r="E31" t="inlineStr">
        <is>
          <t>socios</t>
        </is>
      </c>
      <c r="F31" s="38" t="inlineStr">
        <is>
          <t>No confundir con capacidad física absoluta.</t>
        </is>
      </c>
    </row>
    <row r="32">
      <c r="A32" t="inlineStr">
        <is>
          <t>Múltiplo EBITDA salida</t>
        </is>
      </c>
      <c r="B32" s="107" t="n">
        <v>3</v>
      </c>
      <c r="C32" s="107" t="n">
        <v>4</v>
      </c>
      <c r="D32" s="107" t="n">
        <v>5</v>
      </c>
      <c r="E32" t="inlineStr">
        <is>
          <t>x</t>
        </is>
      </c>
      <c r="F32" s="38" t="inlineStr">
        <is>
          <t>Para valoración por EBITDA estabilizado.</t>
        </is>
      </c>
    </row>
    <row r="33">
      <c r="A33" t="inlineStr">
        <is>
          <t>Tasa descuento anual</t>
        </is>
      </c>
      <c r="B33" s="102" t="n">
        <v>0.3</v>
      </c>
      <c r="C33" s="102" t="n">
        <v>0.25</v>
      </c>
      <c r="D33" s="102" t="n">
        <v>0.22</v>
      </c>
      <c r="E33" t="inlineStr">
        <is>
          <t>%</t>
        </is>
      </c>
      <c r="F33" s="38" t="inlineStr">
        <is>
          <t>Riesgo alto por fase preapertura.</t>
        </is>
      </c>
    </row>
    <row r="34">
      <c r="A34" t="inlineStr">
        <is>
          <t>Múltiplo ingresos anuales</t>
        </is>
      </c>
      <c r="B34" s="107" t="n">
        <v>0.6</v>
      </c>
      <c r="C34" s="107" t="n">
        <v>0.9</v>
      </c>
      <c r="D34" s="107" t="n">
        <v>1.2</v>
      </c>
      <c r="E34" t="inlineStr">
        <is>
          <t>x</t>
        </is>
      </c>
      <c r="F34" s="38" t="inlineStr">
        <is>
          <t>Benchmark interno orientativo, no externo.</t>
        </is>
      </c>
    </row>
    <row r="35">
      <c r="F35" s="38" t="n"/>
    </row>
    <row r="36">
      <c r="F36" s="38" t="n"/>
    </row>
    <row r="37">
      <c r="F37" s="38" t="n"/>
    </row>
    <row r="38">
      <c r="F38" s="38" t="n"/>
    </row>
    <row r="39">
      <c r="F39" s="38" t="n"/>
    </row>
    <row r="40">
      <c r="F40" s="38" t="n"/>
    </row>
  </sheetData>
  <mergeCells count="2">
    <mergeCell ref="A3:F3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9" t="inlineStr">
        <is>
          <t>Evolución de socios activos por escenario - 36 meses</t>
        </is>
      </c>
      <c r="B1" s="1" t="n"/>
      <c r="C1" s="1" t="n"/>
      <c r="D1" s="1" t="n"/>
    </row>
    <row r="3" ht="22" customHeight="1">
      <c r="A3" s="23" t="inlineStr">
        <is>
          <t>Mes</t>
        </is>
      </c>
      <c r="B3" s="23" t="inlineStr">
        <is>
          <t>Conservador</t>
        </is>
      </c>
      <c r="C3" s="23" t="inlineStr">
        <is>
          <t>Base</t>
        </is>
      </c>
      <c r="D3" s="23" t="inlineStr">
        <is>
          <t>Optimista</t>
        </is>
      </c>
    </row>
    <row r="4">
      <c r="A4" s="108" t="n">
        <v>1</v>
      </c>
      <c r="B4" s="97">
        <f>Inputs!B$24</f>
        <v/>
      </c>
      <c r="C4" s="97">
        <f>Inputs!C$24</f>
        <v/>
      </c>
      <c r="D4" s="97">
        <f>Inputs!D$24</f>
        <v/>
      </c>
    </row>
    <row r="5">
      <c r="A5" s="108" t="n">
        <v>2</v>
      </c>
      <c r="B5" s="97">
        <f>MIN(Inputs!B$31,ROUND(B4*(1-Inputs!B$26)+Inputs!B$25,0))</f>
        <v/>
      </c>
      <c r="C5" s="97">
        <f>MIN(Inputs!C$31,ROUND(C4*(1-Inputs!C$26)+Inputs!C$25,0))</f>
        <v/>
      </c>
      <c r="D5" s="97">
        <f>MIN(Inputs!D$31,ROUND(D4*(1-Inputs!D$26)+Inputs!D$25,0))</f>
        <v/>
      </c>
    </row>
    <row r="6">
      <c r="A6" s="108" t="n">
        <v>3</v>
      </c>
      <c r="B6" s="97">
        <f>MIN(Inputs!B$31,ROUND(B5*(1-Inputs!B$26)+Inputs!B$25,0))</f>
        <v/>
      </c>
      <c r="C6" s="97">
        <f>MIN(Inputs!C$31,ROUND(C5*(1-Inputs!C$26)+Inputs!C$25,0))</f>
        <v/>
      </c>
      <c r="D6" s="97">
        <f>MIN(Inputs!D$31,ROUND(D5*(1-Inputs!D$26)+Inputs!D$25,0))</f>
        <v/>
      </c>
    </row>
    <row r="7">
      <c r="A7" s="108" t="n">
        <v>4</v>
      </c>
      <c r="B7" s="97">
        <f>MIN(Inputs!B$31,ROUND(B6*(1-Inputs!B$26)+Inputs!B$25,0))</f>
        <v/>
      </c>
      <c r="C7" s="97">
        <f>MIN(Inputs!C$31,ROUND(C6*(1-Inputs!C$26)+Inputs!C$25,0))</f>
        <v/>
      </c>
      <c r="D7" s="97">
        <f>MIN(Inputs!D$31,ROUND(D6*(1-Inputs!D$26)+Inputs!D$25,0))</f>
        <v/>
      </c>
    </row>
    <row r="8">
      <c r="A8" s="108" t="n">
        <v>5</v>
      </c>
      <c r="B8" s="97">
        <f>MIN(Inputs!B$31,ROUND(B7*(1-Inputs!B$26)+Inputs!B$25,0))</f>
        <v/>
      </c>
      <c r="C8" s="97">
        <f>MIN(Inputs!C$31,ROUND(C7*(1-Inputs!C$26)+Inputs!C$25,0))</f>
        <v/>
      </c>
      <c r="D8" s="97">
        <f>MIN(Inputs!D$31,ROUND(D7*(1-Inputs!D$26)+Inputs!D$25,0))</f>
        <v/>
      </c>
    </row>
    <row r="9">
      <c r="A9" s="108" t="n">
        <v>6</v>
      </c>
      <c r="B9" s="97">
        <f>MIN(Inputs!B$31,ROUND(B8*(1-Inputs!B$26)+Inputs!B$25,0))</f>
        <v/>
      </c>
      <c r="C9" s="97">
        <f>MIN(Inputs!C$31,ROUND(C8*(1-Inputs!C$26)+Inputs!C$25,0))</f>
        <v/>
      </c>
      <c r="D9" s="97">
        <f>MIN(Inputs!D$31,ROUND(D8*(1-Inputs!D$26)+Inputs!D$25,0))</f>
        <v/>
      </c>
    </row>
    <row r="10">
      <c r="A10" s="108" t="n">
        <v>7</v>
      </c>
      <c r="B10" s="97">
        <f>MIN(Inputs!B$31,ROUND(B9*(1-Inputs!B$26)+Inputs!B$25,0))</f>
        <v/>
      </c>
      <c r="C10" s="97">
        <f>MIN(Inputs!C$31,ROUND(C9*(1-Inputs!C$26)+Inputs!C$25,0))</f>
        <v/>
      </c>
      <c r="D10" s="97">
        <f>MIN(Inputs!D$31,ROUND(D9*(1-Inputs!D$26)+Inputs!D$25,0))</f>
        <v/>
      </c>
    </row>
    <row r="11">
      <c r="A11" s="108" t="n">
        <v>8</v>
      </c>
      <c r="B11" s="97">
        <f>MIN(Inputs!B$31,ROUND(B10*(1-Inputs!B$26)+Inputs!B$25,0))</f>
        <v/>
      </c>
      <c r="C11" s="97">
        <f>MIN(Inputs!C$31,ROUND(C10*(1-Inputs!C$26)+Inputs!C$25,0))</f>
        <v/>
      </c>
      <c r="D11" s="97">
        <f>MIN(Inputs!D$31,ROUND(D10*(1-Inputs!D$26)+Inputs!D$25,0))</f>
        <v/>
      </c>
    </row>
    <row r="12">
      <c r="A12" s="108" t="n">
        <v>9</v>
      </c>
      <c r="B12" s="97">
        <f>MIN(Inputs!B$31,ROUND(B11*(1-Inputs!B$26)+Inputs!B$25,0))</f>
        <v/>
      </c>
      <c r="C12" s="97">
        <f>MIN(Inputs!C$31,ROUND(C11*(1-Inputs!C$26)+Inputs!C$25,0))</f>
        <v/>
      </c>
      <c r="D12" s="97">
        <f>MIN(Inputs!D$31,ROUND(D11*(1-Inputs!D$26)+Inputs!D$25,0))</f>
        <v/>
      </c>
    </row>
    <row r="13">
      <c r="A13" s="108" t="n">
        <v>10</v>
      </c>
      <c r="B13" s="97">
        <f>MIN(Inputs!B$31,ROUND(B12*(1-Inputs!B$26)+Inputs!B$25,0))</f>
        <v/>
      </c>
      <c r="C13" s="97">
        <f>MIN(Inputs!C$31,ROUND(C12*(1-Inputs!C$26)+Inputs!C$25,0))</f>
        <v/>
      </c>
      <c r="D13" s="97">
        <f>MIN(Inputs!D$31,ROUND(D12*(1-Inputs!D$26)+Inputs!D$25,0))</f>
        <v/>
      </c>
    </row>
    <row r="14">
      <c r="A14" s="108" t="n">
        <v>11</v>
      </c>
      <c r="B14" s="97">
        <f>MIN(Inputs!B$31,ROUND(B13*(1-Inputs!B$26)+Inputs!B$25,0))</f>
        <v/>
      </c>
      <c r="C14" s="97">
        <f>MIN(Inputs!C$31,ROUND(C13*(1-Inputs!C$26)+Inputs!C$25,0))</f>
        <v/>
      </c>
      <c r="D14" s="97">
        <f>MIN(Inputs!D$31,ROUND(D13*(1-Inputs!D$26)+Inputs!D$25,0))</f>
        <v/>
      </c>
    </row>
    <row r="15">
      <c r="A15" s="108" t="n">
        <v>12</v>
      </c>
      <c r="B15" s="97">
        <f>MIN(Inputs!B$31,ROUND(B14*(1-Inputs!B$26)+Inputs!B$25,0))</f>
        <v/>
      </c>
      <c r="C15" s="97">
        <f>MIN(Inputs!C$31,ROUND(C14*(1-Inputs!C$26)+Inputs!C$25,0))</f>
        <v/>
      </c>
      <c r="D15" s="97">
        <f>MIN(Inputs!D$31,ROUND(D14*(1-Inputs!D$26)+Inputs!D$25,0))</f>
        <v/>
      </c>
    </row>
    <row r="16">
      <c r="A16" s="108" t="n">
        <v>13</v>
      </c>
      <c r="B16" s="97">
        <f>MIN(Inputs!B$31,ROUND(B15*(1-Inputs!B$26)+Inputs!B$25,0))</f>
        <v/>
      </c>
      <c r="C16" s="97">
        <f>MIN(Inputs!C$31,ROUND(C15*(1-Inputs!C$26)+Inputs!C$25,0))</f>
        <v/>
      </c>
      <c r="D16" s="97">
        <f>MIN(Inputs!D$31,ROUND(D15*(1-Inputs!D$26)+Inputs!D$25,0))</f>
        <v/>
      </c>
    </row>
    <row r="17">
      <c r="A17" s="108" t="n">
        <v>14</v>
      </c>
      <c r="B17" s="97">
        <f>MIN(Inputs!B$31,ROUND(B16*(1-Inputs!B$26)+Inputs!B$25,0))</f>
        <v/>
      </c>
      <c r="C17" s="97">
        <f>MIN(Inputs!C$31,ROUND(C16*(1-Inputs!C$26)+Inputs!C$25,0))</f>
        <v/>
      </c>
      <c r="D17" s="97">
        <f>MIN(Inputs!D$31,ROUND(D16*(1-Inputs!D$26)+Inputs!D$25,0))</f>
        <v/>
      </c>
    </row>
    <row r="18">
      <c r="A18" s="108" t="n">
        <v>15</v>
      </c>
      <c r="B18" s="97">
        <f>MIN(Inputs!B$31,ROUND(B17*(1-Inputs!B$26)+Inputs!B$25,0))</f>
        <v/>
      </c>
      <c r="C18" s="97">
        <f>MIN(Inputs!C$31,ROUND(C17*(1-Inputs!C$26)+Inputs!C$25,0))</f>
        <v/>
      </c>
      <c r="D18" s="97">
        <f>MIN(Inputs!D$31,ROUND(D17*(1-Inputs!D$26)+Inputs!D$25,0))</f>
        <v/>
      </c>
    </row>
    <row r="19">
      <c r="A19" s="108" t="n">
        <v>16</v>
      </c>
      <c r="B19" s="97">
        <f>MIN(Inputs!B$31,ROUND(B18*(1-Inputs!B$26)+Inputs!B$25,0))</f>
        <v/>
      </c>
      <c r="C19" s="97">
        <f>MIN(Inputs!C$31,ROUND(C18*(1-Inputs!C$26)+Inputs!C$25,0))</f>
        <v/>
      </c>
      <c r="D19" s="97">
        <f>MIN(Inputs!D$31,ROUND(D18*(1-Inputs!D$26)+Inputs!D$25,0))</f>
        <v/>
      </c>
    </row>
    <row r="20">
      <c r="A20" s="108" t="n">
        <v>17</v>
      </c>
      <c r="B20" s="97">
        <f>MIN(Inputs!B$31,ROUND(B19*(1-Inputs!B$26)+Inputs!B$25,0))</f>
        <v/>
      </c>
      <c r="C20" s="97">
        <f>MIN(Inputs!C$31,ROUND(C19*(1-Inputs!C$26)+Inputs!C$25,0))</f>
        <v/>
      </c>
      <c r="D20" s="97">
        <f>MIN(Inputs!D$31,ROUND(D19*(1-Inputs!D$26)+Inputs!D$25,0))</f>
        <v/>
      </c>
    </row>
    <row r="21">
      <c r="A21" s="108" t="n">
        <v>18</v>
      </c>
      <c r="B21" s="97">
        <f>MIN(Inputs!B$31,ROUND(B20*(1-Inputs!B$26)+Inputs!B$25,0))</f>
        <v/>
      </c>
      <c r="C21" s="97">
        <f>MIN(Inputs!C$31,ROUND(C20*(1-Inputs!C$26)+Inputs!C$25,0))</f>
        <v/>
      </c>
      <c r="D21" s="97">
        <f>MIN(Inputs!D$31,ROUND(D20*(1-Inputs!D$26)+Inputs!D$25,0))</f>
        <v/>
      </c>
    </row>
    <row r="22">
      <c r="A22" s="108" t="n">
        <v>19</v>
      </c>
      <c r="B22" s="97">
        <f>MIN(Inputs!B$31,ROUND(B21*(1-Inputs!B$26)+Inputs!B$25,0))</f>
        <v/>
      </c>
      <c r="C22" s="97">
        <f>MIN(Inputs!C$31,ROUND(C21*(1-Inputs!C$26)+Inputs!C$25,0))</f>
        <v/>
      </c>
      <c r="D22" s="97">
        <f>MIN(Inputs!D$31,ROUND(D21*(1-Inputs!D$26)+Inputs!D$25,0))</f>
        <v/>
      </c>
    </row>
    <row r="23">
      <c r="A23" s="108" t="n">
        <v>20</v>
      </c>
      <c r="B23" s="97">
        <f>MIN(Inputs!B$31,ROUND(B22*(1-Inputs!B$26)+Inputs!B$25,0))</f>
        <v/>
      </c>
      <c r="C23" s="97">
        <f>MIN(Inputs!C$31,ROUND(C22*(1-Inputs!C$26)+Inputs!C$25,0))</f>
        <v/>
      </c>
      <c r="D23" s="97">
        <f>MIN(Inputs!D$31,ROUND(D22*(1-Inputs!D$26)+Inputs!D$25,0))</f>
        <v/>
      </c>
    </row>
    <row r="24">
      <c r="A24" s="108" t="n">
        <v>21</v>
      </c>
      <c r="B24" s="97">
        <f>MIN(Inputs!B$31,ROUND(B23*(1-Inputs!B$26)+Inputs!B$25,0))</f>
        <v/>
      </c>
      <c r="C24" s="97">
        <f>MIN(Inputs!C$31,ROUND(C23*(1-Inputs!C$26)+Inputs!C$25,0))</f>
        <v/>
      </c>
      <c r="D24" s="97">
        <f>MIN(Inputs!D$31,ROUND(D23*(1-Inputs!D$26)+Inputs!D$25,0))</f>
        <v/>
      </c>
    </row>
    <row r="25">
      <c r="A25" s="108" t="n">
        <v>22</v>
      </c>
      <c r="B25" s="97">
        <f>MIN(Inputs!B$31,ROUND(B24*(1-Inputs!B$26)+Inputs!B$25,0))</f>
        <v/>
      </c>
      <c r="C25" s="97">
        <f>MIN(Inputs!C$31,ROUND(C24*(1-Inputs!C$26)+Inputs!C$25,0))</f>
        <v/>
      </c>
      <c r="D25" s="97">
        <f>MIN(Inputs!D$31,ROUND(D24*(1-Inputs!D$26)+Inputs!D$25,0))</f>
        <v/>
      </c>
    </row>
    <row r="26">
      <c r="A26" s="108" t="n">
        <v>23</v>
      </c>
      <c r="B26" s="97">
        <f>MIN(Inputs!B$31,ROUND(B25*(1-Inputs!B$26)+Inputs!B$25,0))</f>
        <v/>
      </c>
      <c r="C26" s="97">
        <f>MIN(Inputs!C$31,ROUND(C25*(1-Inputs!C$26)+Inputs!C$25,0))</f>
        <v/>
      </c>
      <c r="D26" s="97">
        <f>MIN(Inputs!D$31,ROUND(D25*(1-Inputs!D$26)+Inputs!D$25,0))</f>
        <v/>
      </c>
    </row>
    <row r="27">
      <c r="A27" s="108" t="n">
        <v>24</v>
      </c>
      <c r="B27" s="97">
        <f>MIN(Inputs!B$31,ROUND(B26*(1-Inputs!B$26)+Inputs!B$25,0))</f>
        <v/>
      </c>
      <c r="C27" s="97">
        <f>MIN(Inputs!C$31,ROUND(C26*(1-Inputs!C$26)+Inputs!C$25,0))</f>
        <v/>
      </c>
      <c r="D27" s="97">
        <f>MIN(Inputs!D$31,ROUND(D26*(1-Inputs!D$26)+Inputs!D$25,0))</f>
        <v/>
      </c>
    </row>
    <row r="28">
      <c r="A28" s="108" t="n">
        <v>25</v>
      </c>
      <c r="B28" s="97">
        <f>MIN(Inputs!B$31,ROUND(B27*(1-Inputs!B$26)+Inputs!B$25,0))</f>
        <v/>
      </c>
      <c r="C28" s="97">
        <f>MIN(Inputs!C$31,ROUND(C27*(1-Inputs!C$26)+Inputs!C$25,0))</f>
        <v/>
      </c>
      <c r="D28" s="97">
        <f>MIN(Inputs!D$31,ROUND(D27*(1-Inputs!D$26)+Inputs!D$25,0))</f>
        <v/>
      </c>
    </row>
    <row r="29">
      <c r="A29" s="108" t="n">
        <v>26</v>
      </c>
      <c r="B29" s="97">
        <f>MIN(Inputs!B$31,ROUND(B28*(1-Inputs!B$26)+Inputs!B$25,0))</f>
        <v/>
      </c>
      <c r="C29" s="97">
        <f>MIN(Inputs!C$31,ROUND(C28*(1-Inputs!C$26)+Inputs!C$25,0))</f>
        <v/>
      </c>
      <c r="D29" s="97">
        <f>MIN(Inputs!D$31,ROUND(D28*(1-Inputs!D$26)+Inputs!D$25,0))</f>
        <v/>
      </c>
    </row>
    <row r="30">
      <c r="A30" s="108" t="n">
        <v>27</v>
      </c>
      <c r="B30" s="97">
        <f>MIN(Inputs!B$31,ROUND(B29*(1-Inputs!B$26)+Inputs!B$25,0))</f>
        <v/>
      </c>
      <c r="C30" s="97">
        <f>MIN(Inputs!C$31,ROUND(C29*(1-Inputs!C$26)+Inputs!C$25,0))</f>
        <v/>
      </c>
      <c r="D30" s="97">
        <f>MIN(Inputs!D$31,ROUND(D29*(1-Inputs!D$26)+Inputs!D$25,0))</f>
        <v/>
      </c>
    </row>
    <row r="31">
      <c r="A31" s="108" t="n">
        <v>28</v>
      </c>
      <c r="B31" s="97">
        <f>MIN(Inputs!B$31,ROUND(B30*(1-Inputs!B$26)+Inputs!B$25,0))</f>
        <v/>
      </c>
      <c r="C31" s="97">
        <f>MIN(Inputs!C$31,ROUND(C30*(1-Inputs!C$26)+Inputs!C$25,0))</f>
        <v/>
      </c>
      <c r="D31" s="97">
        <f>MIN(Inputs!D$31,ROUND(D30*(1-Inputs!D$26)+Inputs!D$25,0))</f>
        <v/>
      </c>
    </row>
    <row r="32">
      <c r="A32" s="108" t="n">
        <v>29</v>
      </c>
      <c r="B32" s="97">
        <f>MIN(Inputs!B$31,ROUND(B31*(1-Inputs!B$26)+Inputs!B$25,0))</f>
        <v/>
      </c>
      <c r="C32" s="97">
        <f>MIN(Inputs!C$31,ROUND(C31*(1-Inputs!C$26)+Inputs!C$25,0))</f>
        <v/>
      </c>
      <c r="D32" s="97">
        <f>MIN(Inputs!D$31,ROUND(D31*(1-Inputs!D$26)+Inputs!D$25,0))</f>
        <v/>
      </c>
    </row>
    <row r="33">
      <c r="A33" s="108" t="n">
        <v>30</v>
      </c>
      <c r="B33" s="97">
        <f>MIN(Inputs!B$31,ROUND(B32*(1-Inputs!B$26)+Inputs!B$25,0))</f>
        <v/>
      </c>
      <c r="C33" s="97">
        <f>MIN(Inputs!C$31,ROUND(C32*(1-Inputs!C$26)+Inputs!C$25,0))</f>
        <v/>
      </c>
      <c r="D33" s="97">
        <f>MIN(Inputs!D$31,ROUND(D32*(1-Inputs!D$26)+Inputs!D$25,0))</f>
        <v/>
      </c>
    </row>
    <row r="34">
      <c r="A34" s="108" t="n">
        <v>31</v>
      </c>
      <c r="B34" s="97">
        <f>MIN(Inputs!B$31,ROUND(B33*(1-Inputs!B$26)+Inputs!B$25,0))</f>
        <v/>
      </c>
      <c r="C34" s="97">
        <f>MIN(Inputs!C$31,ROUND(C33*(1-Inputs!C$26)+Inputs!C$25,0))</f>
        <v/>
      </c>
      <c r="D34" s="97">
        <f>MIN(Inputs!D$31,ROUND(D33*(1-Inputs!D$26)+Inputs!D$25,0))</f>
        <v/>
      </c>
    </row>
    <row r="35">
      <c r="A35" s="108" t="n">
        <v>32</v>
      </c>
      <c r="B35" s="97">
        <f>MIN(Inputs!B$31,ROUND(B34*(1-Inputs!B$26)+Inputs!B$25,0))</f>
        <v/>
      </c>
      <c r="C35" s="97">
        <f>MIN(Inputs!C$31,ROUND(C34*(1-Inputs!C$26)+Inputs!C$25,0))</f>
        <v/>
      </c>
      <c r="D35" s="97">
        <f>MIN(Inputs!D$31,ROUND(D34*(1-Inputs!D$26)+Inputs!D$25,0))</f>
        <v/>
      </c>
    </row>
    <row r="36">
      <c r="A36" s="108" t="n">
        <v>33</v>
      </c>
      <c r="B36" s="97">
        <f>MIN(Inputs!B$31,ROUND(B35*(1-Inputs!B$26)+Inputs!B$25,0))</f>
        <v/>
      </c>
      <c r="C36" s="97">
        <f>MIN(Inputs!C$31,ROUND(C35*(1-Inputs!C$26)+Inputs!C$25,0))</f>
        <v/>
      </c>
      <c r="D36" s="97">
        <f>MIN(Inputs!D$31,ROUND(D35*(1-Inputs!D$26)+Inputs!D$25,0))</f>
        <v/>
      </c>
    </row>
    <row r="37">
      <c r="A37" s="108" t="n">
        <v>34</v>
      </c>
      <c r="B37" s="97">
        <f>MIN(Inputs!B$31,ROUND(B36*(1-Inputs!B$26)+Inputs!B$25,0))</f>
        <v/>
      </c>
      <c r="C37" s="97">
        <f>MIN(Inputs!C$31,ROUND(C36*(1-Inputs!C$26)+Inputs!C$25,0))</f>
        <v/>
      </c>
      <c r="D37" s="97">
        <f>MIN(Inputs!D$31,ROUND(D36*(1-Inputs!D$26)+Inputs!D$25,0))</f>
        <v/>
      </c>
    </row>
    <row r="38">
      <c r="A38" s="108" t="n">
        <v>35</v>
      </c>
      <c r="B38" s="97">
        <f>MIN(Inputs!B$31,ROUND(B37*(1-Inputs!B$26)+Inputs!B$25,0))</f>
        <v/>
      </c>
      <c r="C38" s="97">
        <f>MIN(Inputs!C$31,ROUND(C37*(1-Inputs!C$26)+Inputs!C$25,0))</f>
        <v/>
      </c>
      <c r="D38" s="97">
        <f>MIN(Inputs!D$31,ROUND(D37*(1-Inputs!D$26)+Inputs!D$25,0))</f>
        <v/>
      </c>
    </row>
    <row r="39">
      <c r="A39" s="108" t="n">
        <v>36</v>
      </c>
      <c r="B39" s="97">
        <f>MIN(Inputs!B$31,ROUND(B38*(1-Inputs!B$26)+Inputs!B$25,0))</f>
        <v/>
      </c>
      <c r="C39" s="97">
        <f>MIN(Inputs!C$31,ROUND(C38*(1-Inputs!C$26)+Inputs!C$25,0))</f>
        <v/>
      </c>
      <c r="D39" s="97">
        <f>MIN(Inputs!D$31,ROUND(D38*(1-Inputs!D$26)+Inputs!D$25,0))</f>
        <v/>
      </c>
    </row>
  </sheetData>
  <mergeCells count="1">
    <mergeCell ref="A1:D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0" customWidth="1" min="13" max="13"/>
  </cols>
  <sheetData>
    <row r="1" ht="28" customHeight="1">
      <c r="A1" s="9" t="inlineStr">
        <is>
          <t>Cuenta de resultados mensual - Escenario 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 ht="22" customHeight="1">
      <c r="A3" s="23" t="inlineStr">
        <is>
          <t>Mes</t>
        </is>
      </c>
      <c r="B3" s="23" t="inlineStr">
        <is>
          <t>Socios activos</t>
        </is>
      </c>
      <c r="C3" s="23" t="inlineStr">
        <is>
          <t>Ingresos cuotas netos</t>
        </is>
      </c>
      <c r="D3" s="23" t="inlineStr">
        <is>
          <t>Ingresos extra netos</t>
        </is>
      </c>
      <c r="E3" s="23" t="inlineStr">
        <is>
          <t>Ingresos netos</t>
        </is>
      </c>
      <c r="F3" s="23" t="inlineStr">
        <is>
          <t>Coste variable</t>
        </is>
      </c>
      <c r="G3" s="23" t="inlineStr">
        <is>
          <t>Costes fijos</t>
        </is>
      </c>
      <c r="H3" s="23" t="inlineStr">
        <is>
          <t>Renting maquinaria</t>
        </is>
      </c>
      <c r="I3" s="23" t="inlineStr">
        <is>
          <t>Marketing</t>
        </is>
      </c>
      <c r="J3" s="23" t="inlineStr">
        <is>
          <t>EBITDA</t>
        </is>
      </c>
      <c r="K3" s="23" t="inlineStr">
        <is>
          <t>Margen EBITDA</t>
        </is>
      </c>
      <c r="L3" s="23" t="inlineStr">
        <is>
          <t>EBITDA acumulado</t>
        </is>
      </c>
      <c r="M3" s="23" t="inlineStr">
        <is>
          <t>Nota</t>
        </is>
      </c>
    </row>
    <row r="4">
      <c r="A4" s="97" t="n">
        <v>1</v>
      </c>
      <c r="B4" s="97">
        <f>Socios_36M!C4</f>
        <v/>
      </c>
      <c r="C4" s="98">
        <f>B4*Inputs!$C$27/(1+Inputs!$B$12)</f>
        <v/>
      </c>
      <c r="D4" s="98">
        <f>B4*Inputs!$C$28/(1+Inputs!$B$12)</f>
        <v/>
      </c>
      <c r="E4" s="98">
        <f>C4+D4</f>
        <v/>
      </c>
      <c r="F4" s="98">
        <f>B4*Inputs!$C$29</f>
        <v/>
      </c>
      <c r="G4" s="98">
        <f>Inputs!$B$16</f>
        <v/>
      </c>
      <c r="H4" s="98">
        <f>Inputs!$B$17</f>
        <v/>
      </c>
      <c r="I4" s="98">
        <f>Inputs!$C$30</f>
        <v/>
      </c>
      <c r="J4" s="98">
        <f>E4-F4-G4-H4-I4</f>
        <v/>
      </c>
      <c r="K4" s="109">
        <f>IFERROR(J4/E4,0)</f>
        <v/>
      </c>
      <c r="L4" s="98">
        <f>SUM($J$4:J4)</f>
        <v/>
      </c>
    </row>
    <row r="5">
      <c r="A5" s="97" t="n">
        <v>2</v>
      </c>
      <c r="B5" s="97">
        <f>Socios_36M!C5</f>
        <v/>
      </c>
      <c r="C5" s="98">
        <f>B5*Inputs!$C$27/(1+Inputs!$B$12)</f>
        <v/>
      </c>
      <c r="D5" s="98">
        <f>B5*Inputs!$C$28/(1+Inputs!$B$12)</f>
        <v/>
      </c>
      <c r="E5" s="98">
        <f>C5+D5</f>
        <v/>
      </c>
      <c r="F5" s="98">
        <f>B5*Inputs!$C$29</f>
        <v/>
      </c>
      <c r="G5" s="98">
        <f>Inputs!$B$16</f>
        <v/>
      </c>
      <c r="H5" s="98">
        <f>Inputs!$B$17</f>
        <v/>
      </c>
      <c r="I5" s="98">
        <f>Inputs!$C$30</f>
        <v/>
      </c>
      <c r="J5" s="98">
        <f>E5-F5-G5-H5-I5</f>
        <v/>
      </c>
      <c r="K5" s="109">
        <f>IFERROR(J5/E5,0)</f>
        <v/>
      </c>
      <c r="L5" s="98">
        <f>SUM($J$4:J5)</f>
        <v/>
      </c>
    </row>
    <row r="6">
      <c r="A6" s="97" t="n">
        <v>3</v>
      </c>
      <c r="B6" s="97">
        <f>Socios_36M!C6</f>
        <v/>
      </c>
      <c r="C6" s="98">
        <f>B6*Inputs!$C$27/(1+Inputs!$B$12)</f>
        <v/>
      </c>
      <c r="D6" s="98">
        <f>B6*Inputs!$C$28/(1+Inputs!$B$12)</f>
        <v/>
      </c>
      <c r="E6" s="98">
        <f>C6+D6</f>
        <v/>
      </c>
      <c r="F6" s="98">
        <f>B6*Inputs!$C$29</f>
        <v/>
      </c>
      <c r="G6" s="98">
        <f>Inputs!$B$16</f>
        <v/>
      </c>
      <c r="H6" s="98">
        <f>Inputs!$B$17</f>
        <v/>
      </c>
      <c r="I6" s="98">
        <f>Inputs!$C$30</f>
        <v/>
      </c>
      <c r="J6" s="98">
        <f>E6-F6-G6-H6-I6</f>
        <v/>
      </c>
      <c r="K6" s="109">
        <f>IFERROR(J6/E6,0)</f>
        <v/>
      </c>
      <c r="L6" s="98">
        <f>SUM($J$4:J6)</f>
        <v/>
      </c>
    </row>
    <row r="7">
      <c r="A7" s="97" t="n">
        <v>4</v>
      </c>
      <c r="B7" s="97">
        <f>Socios_36M!C7</f>
        <v/>
      </c>
      <c r="C7" s="98">
        <f>B7*Inputs!$C$27/(1+Inputs!$B$12)</f>
        <v/>
      </c>
      <c r="D7" s="98">
        <f>B7*Inputs!$C$28/(1+Inputs!$B$12)</f>
        <v/>
      </c>
      <c r="E7" s="98">
        <f>C7+D7</f>
        <v/>
      </c>
      <c r="F7" s="98">
        <f>B7*Inputs!$C$29</f>
        <v/>
      </c>
      <c r="G7" s="98">
        <f>Inputs!$B$16</f>
        <v/>
      </c>
      <c r="H7" s="98">
        <f>Inputs!$B$17</f>
        <v/>
      </c>
      <c r="I7" s="98">
        <f>Inputs!$C$30</f>
        <v/>
      </c>
      <c r="J7" s="98">
        <f>E7-F7-G7-H7-I7</f>
        <v/>
      </c>
      <c r="K7" s="109">
        <f>IFERROR(J7/E7,0)</f>
        <v/>
      </c>
      <c r="L7" s="98">
        <f>SUM($J$4:J7)</f>
        <v/>
      </c>
    </row>
    <row r="8">
      <c r="A8" s="97" t="n">
        <v>5</v>
      </c>
      <c r="B8" s="97">
        <f>Socios_36M!C8</f>
        <v/>
      </c>
      <c r="C8" s="98">
        <f>B8*Inputs!$C$27/(1+Inputs!$B$12)</f>
        <v/>
      </c>
      <c r="D8" s="98">
        <f>B8*Inputs!$C$28/(1+Inputs!$B$12)</f>
        <v/>
      </c>
      <c r="E8" s="98">
        <f>C8+D8</f>
        <v/>
      </c>
      <c r="F8" s="98">
        <f>B8*Inputs!$C$29</f>
        <v/>
      </c>
      <c r="G8" s="98">
        <f>Inputs!$B$16</f>
        <v/>
      </c>
      <c r="H8" s="98">
        <f>Inputs!$B$17</f>
        <v/>
      </c>
      <c r="I8" s="98">
        <f>Inputs!$C$30</f>
        <v/>
      </c>
      <c r="J8" s="98">
        <f>E8-F8-G8-H8-I8</f>
        <v/>
      </c>
      <c r="K8" s="109">
        <f>IFERROR(J8/E8,0)</f>
        <v/>
      </c>
      <c r="L8" s="98">
        <f>SUM($J$4:J8)</f>
        <v/>
      </c>
    </row>
    <row r="9">
      <c r="A9" s="97" t="n">
        <v>6</v>
      </c>
      <c r="B9" s="97">
        <f>Socios_36M!C9</f>
        <v/>
      </c>
      <c r="C9" s="98">
        <f>B9*Inputs!$C$27/(1+Inputs!$B$12)</f>
        <v/>
      </c>
      <c r="D9" s="98">
        <f>B9*Inputs!$C$28/(1+Inputs!$B$12)</f>
        <v/>
      </c>
      <c r="E9" s="98">
        <f>C9+D9</f>
        <v/>
      </c>
      <c r="F9" s="98">
        <f>B9*Inputs!$C$29</f>
        <v/>
      </c>
      <c r="G9" s="98">
        <f>Inputs!$B$16</f>
        <v/>
      </c>
      <c r="H9" s="98">
        <f>Inputs!$B$17</f>
        <v/>
      </c>
      <c r="I9" s="98">
        <f>Inputs!$C$30</f>
        <v/>
      </c>
      <c r="J9" s="98">
        <f>E9-F9-G9-H9-I9</f>
        <v/>
      </c>
      <c r="K9" s="109">
        <f>IFERROR(J9/E9,0)</f>
        <v/>
      </c>
      <c r="L9" s="98">
        <f>SUM($J$4:J9)</f>
        <v/>
      </c>
    </row>
    <row r="10">
      <c r="A10" s="97" t="n">
        <v>7</v>
      </c>
      <c r="B10" s="97">
        <f>Socios_36M!C10</f>
        <v/>
      </c>
      <c r="C10" s="98">
        <f>B10*Inputs!$C$27/(1+Inputs!$B$12)</f>
        <v/>
      </c>
      <c r="D10" s="98">
        <f>B10*Inputs!$C$28/(1+Inputs!$B$12)</f>
        <v/>
      </c>
      <c r="E10" s="98">
        <f>C10+D10</f>
        <v/>
      </c>
      <c r="F10" s="98">
        <f>B10*Inputs!$C$29</f>
        <v/>
      </c>
      <c r="G10" s="98">
        <f>Inputs!$B$16</f>
        <v/>
      </c>
      <c r="H10" s="98">
        <f>Inputs!$B$17</f>
        <v/>
      </c>
      <c r="I10" s="98">
        <f>Inputs!$C$30</f>
        <v/>
      </c>
      <c r="J10" s="98">
        <f>E10-F10-G10-H10-I10</f>
        <v/>
      </c>
      <c r="K10" s="109">
        <f>IFERROR(J10/E10,0)</f>
        <v/>
      </c>
      <c r="L10" s="98">
        <f>SUM($J$4:J10)</f>
        <v/>
      </c>
    </row>
    <row r="11">
      <c r="A11" s="97" t="n">
        <v>8</v>
      </c>
      <c r="B11" s="97">
        <f>Socios_36M!C11</f>
        <v/>
      </c>
      <c r="C11" s="98">
        <f>B11*Inputs!$C$27/(1+Inputs!$B$12)</f>
        <v/>
      </c>
      <c r="D11" s="98">
        <f>B11*Inputs!$C$28/(1+Inputs!$B$12)</f>
        <v/>
      </c>
      <c r="E11" s="98">
        <f>C11+D11</f>
        <v/>
      </c>
      <c r="F11" s="98">
        <f>B11*Inputs!$C$29</f>
        <v/>
      </c>
      <c r="G11" s="98">
        <f>Inputs!$B$16</f>
        <v/>
      </c>
      <c r="H11" s="98">
        <f>Inputs!$B$17</f>
        <v/>
      </c>
      <c r="I11" s="98">
        <f>Inputs!$C$30</f>
        <v/>
      </c>
      <c r="J11" s="98">
        <f>E11-F11-G11-H11-I11</f>
        <v/>
      </c>
      <c r="K11" s="109">
        <f>IFERROR(J11/E11,0)</f>
        <v/>
      </c>
      <c r="L11" s="98">
        <f>SUM($J$4:J11)</f>
        <v/>
      </c>
    </row>
    <row r="12">
      <c r="A12" s="97" t="n">
        <v>9</v>
      </c>
      <c r="B12" s="97">
        <f>Socios_36M!C12</f>
        <v/>
      </c>
      <c r="C12" s="98">
        <f>B12*Inputs!$C$27/(1+Inputs!$B$12)</f>
        <v/>
      </c>
      <c r="D12" s="98">
        <f>B12*Inputs!$C$28/(1+Inputs!$B$12)</f>
        <v/>
      </c>
      <c r="E12" s="98">
        <f>C12+D12</f>
        <v/>
      </c>
      <c r="F12" s="98">
        <f>B12*Inputs!$C$29</f>
        <v/>
      </c>
      <c r="G12" s="98">
        <f>Inputs!$B$16</f>
        <v/>
      </c>
      <c r="H12" s="98">
        <f>Inputs!$B$17</f>
        <v/>
      </c>
      <c r="I12" s="98">
        <f>Inputs!$C$30</f>
        <v/>
      </c>
      <c r="J12" s="98">
        <f>E12-F12-G12-H12-I12</f>
        <v/>
      </c>
      <c r="K12" s="109">
        <f>IFERROR(J12/E12,0)</f>
        <v/>
      </c>
      <c r="L12" s="98">
        <f>SUM($J$4:J12)</f>
        <v/>
      </c>
    </row>
    <row r="13">
      <c r="A13" s="97" t="n">
        <v>10</v>
      </c>
      <c r="B13" s="97">
        <f>Socios_36M!C13</f>
        <v/>
      </c>
      <c r="C13" s="98">
        <f>B13*Inputs!$C$27/(1+Inputs!$B$12)</f>
        <v/>
      </c>
      <c r="D13" s="98">
        <f>B13*Inputs!$C$28/(1+Inputs!$B$12)</f>
        <v/>
      </c>
      <c r="E13" s="98">
        <f>C13+D13</f>
        <v/>
      </c>
      <c r="F13" s="98">
        <f>B13*Inputs!$C$29</f>
        <v/>
      </c>
      <c r="G13" s="98">
        <f>Inputs!$B$16</f>
        <v/>
      </c>
      <c r="H13" s="98">
        <f>Inputs!$B$17</f>
        <v/>
      </c>
      <c r="I13" s="98">
        <f>Inputs!$C$30</f>
        <v/>
      </c>
      <c r="J13" s="98">
        <f>E13-F13-G13-H13-I13</f>
        <v/>
      </c>
      <c r="K13" s="109">
        <f>IFERROR(J13/E13,0)</f>
        <v/>
      </c>
      <c r="L13" s="98">
        <f>SUM($J$4:J13)</f>
        <v/>
      </c>
    </row>
    <row r="14">
      <c r="A14" s="97" t="n">
        <v>11</v>
      </c>
      <c r="B14" s="97">
        <f>Socios_36M!C14</f>
        <v/>
      </c>
      <c r="C14" s="98">
        <f>B14*Inputs!$C$27/(1+Inputs!$B$12)</f>
        <v/>
      </c>
      <c r="D14" s="98">
        <f>B14*Inputs!$C$28/(1+Inputs!$B$12)</f>
        <v/>
      </c>
      <c r="E14" s="98">
        <f>C14+D14</f>
        <v/>
      </c>
      <c r="F14" s="98">
        <f>B14*Inputs!$C$29</f>
        <v/>
      </c>
      <c r="G14" s="98">
        <f>Inputs!$B$16</f>
        <v/>
      </c>
      <c r="H14" s="98">
        <f>Inputs!$B$17</f>
        <v/>
      </c>
      <c r="I14" s="98">
        <f>Inputs!$C$30</f>
        <v/>
      </c>
      <c r="J14" s="98">
        <f>E14-F14-G14-H14-I14</f>
        <v/>
      </c>
      <c r="K14" s="109">
        <f>IFERROR(J14/E14,0)</f>
        <v/>
      </c>
      <c r="L14" s="98">
        <f>SUM($J$4:J14)</f>
        <v/>
      </c>
    </row>
    <row r="15">
      <c r="A15" s="97" t="n">
        <v>12</v>
      </c>
      <c r="B15" s="97">
        <f>Socios_36M!C15</f>
        <v/>
      </c>
      <c r="C15" s="98">
        <f>B15*Inputs!$C$27/(1+Inputs!$B$12)</f>
        <v/>
      </c>
      <c r="D15" s="98">
        <f>B15*Inputs!$C$28/(1+Inputs!$B$12)</f>
        <v/>
      </c>
      <c r="E15" s="98">
        <f>C15+D15</f>
        <v/>
      </c>
      <c r="F15" s="98">
        <f>B15*Inputs!$C$29</f>
        <v/>
      </c>
      <c r="G15" s="98">
        <f>Inputs!$B$16</f>
        <v/>
      </c>
      <c r="H15" s="98">
        <f>Inputs!$B$17</f>
        <v/>
      </c>
      <c r="I15" s="98">
        <f>Inputs!$C$30</f>
        <v/>
      </c>
      <c r="J15" s="98">
        <f>E15-F15-G15-H15-I15</f>
        <v/>
      </c>
      <c r="K15" s="109">
        <f>IFERROR(J15/E15,0)</f>
        <v/>
      </c>
      <c r="L15" s="98">
        <f>SUM($J$4:J15)</f>
        <v/>
      </c>
    </row>
    <row r="16">
      <c r="A16" s="97" t="n">
        <v>13</v>
      </c>
      <c r="B16" s="97">
        <f>Socios_36M!C16</f>
        <v/>
      </c>
      <c r="C16" s="98">
        <f>B16*Inputs!$C$27/(1+Inputs!$B$12)</f>
        <v/>
      </c>
      <c r="D16" s="98">
        <f>B16*Inputs!$C$28/(1+Inputs!$B$12)</f>
        <v/>
      </c>
      <c r="E16" s="98">
        <f>C16+D16</f>
        <v/>
      </c>
      <c r="F16" s="98">
        <f>B16*Inputs!$C$29</f>
        <v/>
      </c>
      <c r="G16" s="98">
        <f>Inputs!$B$16</f>
        <v/>
      </c>
      <c r="H16" s="98">
        <f>Inputs!$B$17</f>
        <v/>
      </c>
      <c r="I16" s="98">
        <f>Inputs!$C$30</f>
        <v/>
      </c>
      <c r="J16" s="98">
        <f>E16-F16-G16-H16-I16</f>
        <v/>
      </c>
      <c r="K16" s="109">
        <f>IFERROR(J16/E16,0)</f>
        <v/>
      </c>
      <c r="L16" s="98">
        <f>SUM($J$4:J16)</f>
        <v/>
      </c>
    </row>
    <row r="17">
      <c r="A17" s="97" t="n">
        <v>14</v>
      </c>
      <c r="B17" s="97">
        <f>Socios_36M!C17</f>
        <v/>
      </c>
      <c r="C17" s="98">
        <f>B17*Inputs!$C$27/(1+Inputs!$B$12)</f>
        <v/>
      </c>
      <c r="D17" s="98">
        <f>B17*Inputs!$C$28/(1+Inputs!$B$12)</f>
        <v/>
      </c>
      <c r="E17" s="98">
        <f>C17+D17</f>
        <v/>
      </c>
      <c r="F17" s="98">
        <f>B17*Inputs!$C$29</f>
        <v/>
      </c>
      <c r="G17" s="98">
        <f>Inputs!$B$16</f>
        <v/>
      </c>
      <c r="H17" s="98">
        <f>Inputs!$B$17</f>
        <v/>
      </c>
      <c r="I17" s="98">
        <f>Inputs!$C$30</f>
        <v/>
      </c>
      <c r="J17" s="98">
        <f>E17-F17-G17-H17-I17</f>
        <v/>
      </c>
      <c r="K17" s="109">
        <f>IFERROR(J17/E17,0)</f>
        <v/>
      </c>
      <c r="L17" s="98">
        <f>SUM($J$4:J17)</f>
        <v/>
      </c>
    </row>
    <row r="18">
      <c r="A18" s="97" t="n">
        <v>15</v>
      </c>
      <c r="B18" s="97">
        <f>Socios_36M!C18</f>
        <v/>
      </c>
      <c r="C18" s="98">
        <f>B18*Inputs!$C$27/(1+Inputs!$B$12)</f>
        <v/>
      </c>
      <c r="D18" s="98">
        <f>B18*Inputs!$C$28/(1+Inputs!$B$12)</f>
        <v/>
      </c>
      <c r="E18" s="98">
        <f>C18+D18</f>
        <v/>
      </c>
      <c r="F18" s="98">
        <f>B18*Inputs!$C$29</f>
        <v/>
      </c>
      <c r="G18" s="98">
        <f>Inputs!$B$16</f>
        <v/>
      </c>
      <c r="H18" s="98">
        <f>Inputs!$B$17</f>
        <v/>
      </c>
      <c r="I18" s="98">
        <f>Inputs!$C$30</f>
        <v/>
      </c>
      <c r="J18" s="98">
        <f>E18-F18-G18-H18-I18</f>
        <v/>
      </c>
      <c r="K18" s="109">
        <f>IFERROR(J18/E18,0)</f>
        <v/>
      </c>
      <c r="L18" s="98">
        <f>SUM($J$4:J18)</f>
        <v/>
      </c>
    </row>
    <row r="19">
      <c r="A19" s="97" t="n">
        <v>16</v>
      </c>
      <c r="B19" s="97">
        <f>Socios_36M!C19</f>
        <v/>
      </c>
      <c r="C19" s="98">
        <f>B19*Inputs!$C$27/(1+Inputs!$B$12)</f>
        <v/>
      </c>
      <c r="D19" s="98">
        <f>B19*Inputs!$C$28/(1+Inputs!$B$12)</f>
        <v/>
      </c>
      <c r="E19" s="98">
        <f>C19+D19</f>
        <v/>
      </c>
      <c r="F19" s="98">
        <f>B19*Inputs!$C$29</f>
        <v/>
      </c>
      <c r="G19" s="98">
        <f>Inputs!$B$16</f>
        <v/>
      </c>
      <c r="H19" s="98">
        <f>Inputs!$B$17</f>
        <v/>
      </c>
      <c r="I19" s="98">
        <f>Inputs!$C$30</f>
        <v/>
      </c>
      <c r="J19" s="98">
        <f>E19-F19-G19-H19-I19</f>
        <v/>
      </c>
      <c r="K19" s="109">
        <f>IFERROR(J19/E19,0)</f>
        <v/>
      </c>
      <c r="L19" s="98">
        <f>SUM($J$4:J19)</f>
        <v/>
      </c>
    </row>
    <row r="20">
      <c r="A20" s="97" t="n">
        <v>17</v>
      </c>
      <c r="B20" s="97">
        <f>Socios_36M!C20</f>
        <v/>
      </c>
      <c r="C20" s="98">
        <f>B20*Inputs!$C$27/(1+Inputs!$B$12)</f>
        <v/>
      </c>
      <c r="D20" s="98">
        <f>B20*Inputs!$C$28/(1+Inputs!$B$12)</f>
        <v/>
      </c>
      <c r="E20" s="98">
        <f>C20+D20</f>
        <v/>
      </c>
      <c r="F20" s="98">
        <f>B20*Inputs!$C$29</f>
        <v/>
      </c>
      <c r="G20" s="98">
        <f>Inputs!$B$16</f>
        <v/>
      </c>
      <c r="H20" s="98">
        <f>Inputs!$B$17</f>
        <v/>
      </c>
      <c r="I20" s="98">
        <f>Inputs!$C$30</f>
        <v/>
      </c>
      <c r="J20" s="98">
        <f>E20-F20-G20-H20-I20</f>
        <v/>
      </c>
      <c r="K20" s="109">
        <f>IFERROR(J20/E20,0)</f>
        <v/>
      </c>
      <c r="L20" s="98">
        <f>SUM($J$4:J20)</f>
        <v/>
      </c>
    </row>
    <row r="21">
      <c r="A21" s="97" t="n">
        <v>18</v>
      </c>
      <c r="B21" s="97">
        <f>Socios_36M!C21</f>
        <v/>
      </c>
      <c r="C21" s="98">
        <f>B21*Inputs!$C$27/(1+Inputs!$B$12)</f>
        <v/>
      </c>
      <c r="D21" s="98">
        <f>B21*Inputs!$C$28/(1+Inputs!$B$12)</f>
        <v/>
      </c>
      <c r="E21" s="98">
        <f>C21+D21</f>
        <v/>
      </c>
      <c r="F21" s="98">
        <f>B21*Inputs!$C$29</f>
        <v/>
      </c>
      <c r="G21" s="98">
        <f>Inputs!$B$16</f>
        <v/>
      </c>
      <c r="H21" s="98">
        <f>Inputs!$B$17</f>
        <v/>
      </c>
      <c r="I21" s="98">
        <f>Inputs!$C$30</f>
        <v/>
      </c>
      <c r="J21" s="98">
        <f>E21-F21-G21-H21-I21</f>
        <v/>
      </c>
      <c r="K21" s="109">
        <f>IFERROR(J21/E21,0)</f>
        <v/>
      </c>
      <c r="L21" s="98">
        <f>SUM($J$4:J21)</f>
        <v/>
      </c>
    </row>
    <row r="22">
      <c r="A22" s="97" t="n">
        <v>19</v>
      </c>
      <c r="B22" s="97">
        <f>Socios_36M!C22</f>
        <v/>
      </c>
      <c r="C22" s="98">
        <f>B22*Inputs!$C$27/(1+Inputs!$B$12)</f>
        <v/>
      </c>
      <c r="D22" s="98">
        <f>B22*Inputs!$C$28/(1+Inputs!$B$12)</f>
        <v/>
      </c>
      <c r="E22" s="98">
        <f>C22+D22</f>
        <v/>
      </c>
      <c r="F22" s="98">
        <f>B22*Inputs!$C$29</f>
        <v/>
      </c>
      <c r="G22" s="98">
        <f>Inputs!$B$16</f>
        <v/>
      </c>
      <c r="H22" s="98">
        <f>Inputs!$B$17</f>
        <v/>
      </c>
      <c r="I22" s="98">
        <f>Inputs!$C$30</f>
        <v/>
      </c>
      <c r="J22" s="98">
        <f>E22-F22-G22-H22-I22</f>
        <v/>
      </c>
      <c r="K22" s="109">
        <f>IFERROR(J22/E22,0)</f>
        <v/>
      </c>
      <c r="L22" s="98">
        <f>SUM($J$4:J22)</f>
        <v/>
      </c>
    </row>
    <row r="23">
      <c r="A23" s="97" t="n">
        <v>20</v>
      </c>
      <c r="B23" s="97">
        <f>Socios_36M!C23</f>
        <v/>
      </c>
      <c r="C23" s="98">
        <f>B23*Inputs!$C$27/(1+Inputs!$B$12)</f>
        <v/>
      </c>
      <c r="D23" s="98">
        <f>B23*Inputs!$C$28/(1+Inputs!$B$12)</f>
        <v/>
      </c>
      <c r="E23" s="98">
        <f>C23+D23</f>
        <v/>
      </c>
      <c r="F23" s="98">
        <f>B23*Inputs!$C$29</f>
        <v/>
      </c>
      <c r="G23" s="98">
        <f>Inputs!$B$16</f>
        <v/>
      </c>
      <c r="H23" s="98">
        <f>Inputs!$B$17</f>
        <v/>
      </c>
      <c r="I23" s="98">
        <f>Inputs!$C$30</f>
        <v/>
      </c>
      <c r="J23" s="98">
        <f>E23-F23-G23-H23-I23</f>
        <v/>
      </c>
      <c r="K23" s="109">
        <f>IFERROR(J23/E23,0)</f>
        <v/>
      </c>
      <c r="L23" s="98">
        <f>SUM($J$4:J23)</f>
        <v/>
      </c>
    </row>
    <row r="24">
      <c r="A24" s="97" t="n">
        <v>21</v>
      </c>
      <c r="B24" s="97">
        <f>Socios_36M!C24</f>
        <v/>
      </c>
      <c r="C24" s="98">
        <f>B24*Inputs!$C$27/(1+Inputs!$B$12)</f>
        <v/>
      </c>
      <c r="D24" s="98">
        <f>B24*Inputs!$C$28/(1+Inputs!$B$12)</f>
        <v/>
      </c>
      <c r="E24" s="98">
        <f>C24+D24</f>
        <v/>
      </c>
      <c r="F24" s="98">
        <f>B24*Inputs!$C$29</f>
        <v/>
      </c>
      <c r="G24" s="98">
        <f>Inputs!$B$16</f>
        <v/>
      </c>
      <c r="H24" s="98">
        <f>Inputs!$B$17</f>
        <v/>
      </c>
      <c r="I24" s="98">
        <f>Inputs!$C$30</f>
        <v/>
      </c>
      <c r="J24" s="98">
        <f>E24-F24-G24-H24-I24</f>
        <v/>
      </c>
      <c r="K24" s="109">
        <f>IFERROR(J24/E24,0)</f>
        <v/>
      </c>
      <c r="L24" s="98">
        <f>SUM($J$4:J24)</f>
        <v/>
      </c>
    </row>
    <row r="25">
      <c r="A25" s="97" t="n">
        <v>22</v>
      </c>
      <c r="B25" s="97">
        <f>Socios_36M!C25</f>
        <v/>
      </c>
      <c r="C25" s="98">
        <f>B25*Inputs!$C$27/(1+Inputs!$B$12)</f>
        <v/>
      </c>
      <c r="D25" s="98">
        <f>B25*Inputs!$C$28/(1+Inputs!$B$12)</f>
        <v/>
      </c>
      <c r="E25" s="98">
        <f>C25+D25</f>
        <v/>
      </c>
      <c r="F25" s="98">
        <f>B25*Inputs!$C$29</f>
        <v/>
      </c>
      <c r="G25" s="98">
        <f>Inputs!$B$16</f>
        <v/>
      </c>
      <c r="H25" s="98">
        <f>Inputs!$B$17</f>
        <v/>
      </c>
      <c r="I25" s="98">
        <f>Inputs!$C$30</f>
        <v/>
      </c>
      <c r="J25" s="98">
        <f>E25-F25-G25-H25-I25</f>
        <v/>
      </c>
      <c r="K25" s="109">
        <f>IFERROR(J25/E25,0)</f>
        <v/>
      </c>
      <c r="L25" s="98">
        <f>SUM($J$4:J25)</f>
        <v/>
      </c>
    </row>
    <row r="26">
      <c r="A26" s="97" t="n">
        <v>23</v>
      </c>
      <c r="B26" s="97">
        <f>Socios_36M!C26</f>
        <v/>
      </c>
      <c r="C26" s="98">
        <f>B26*Inputs!$C$27/(1+Inputs!$B$12)</f>
        <v/>
      </c>
      <c r="D26" s="98">
        <f>B26*Inputs!$C$28/(1+Inputs!$B$12)</f>
        <v/>
      </c>
      <c r="E26" s="98">
        <f>C26+D26</f>
        <v/>
      </c>
      <c r="F26" s="98">
        <f>B26*Inputs!$C$29</f>
        <v/>
      </c>
      <c r="G26" s="98">
        <f>Inputs!$B$16</f>
        <v/>
      </c>
      <c r="H26" s="98">
        <f>Inputs!$B$17</f>
        <v/>
      </c>
      <c r="I26" s="98">
        <f>Inputs!$C$30</f>
        <v/>
      </c>
      <c r="J26" s="98">
        <f>E26-F26-G26-H26-I26</f>
        <v/>
      </c>
      <c r="K26" s="109">
        <f>IFERROR(J26/E26,0)</f>
        <v/>
      </c>
      <c r="L26" s="98">
        <f>SUM($J$4:J26)</f>
        <v/>
      </c>
    </row>
    <row r="27">
      <c r="A27" s="97" t="n">
        <v>24</v>
      </c>
      <c r="B27" s="97">
        <f>Socios_36M!C27</f>
        <v/>
      </c>
      <c r="C27" s="98">
        <f>B27*Inputs!$C$27/(1+Inputs!$B$12)</f>
        <v/>
      </c>
      <c r="D27" s="98">
        <f>B27*Inputs!$C$28/(1+Inputs!$B$12)</f>
        <v/>
      </c>
      <c r="E27" s="98">
        <f>C27+D27</f>
        <v/>
      </c>
      <c r="F27" s="98">
        <f>B27*Inputs!$C$29</f>
        <v/>
      </c>
      <c r="G27" s="98">
        <f>Inputs!$B$16</f>
        <v/>
      </c>
      <c r="H27" s="98">
        <f>Inputs!$B$17</f>
        <v/>
      </c>
      <c r="I27" s="98">
        <f>Inputs!$C$30</f>
        <v/>
      </c>
      <c r="J27" s="98">
        <f>E27-F27-G27-H27-I27</f>
        <v/>
      </c>
      <c r="K27" s="109">
        <f>IFERROR(J27/E27,0)</f>
        <v/>
      </c>
      <c r="L27" s="98">
        <f>SUM($J$4:J27)</f>
        <v/>
      </c>
    </row>
    <row r="28">
      <c r="A28" s="97" t="n">
        <v>25</v>
      </c>
      <c r="B28" s="97">
        <f>Socios_36M!C28</f>
        <v/>
      </c>
      <c r="C28" s="98">
        <f>B28*Inputs!$C$27/(1+Inputs!$B$12)</f>
        <v/>
      </c>
      <c r="D28" s="98">
        <f>B28*Inputs!$C$28/(1+Inputs!$B$12)</f>
        <v/>
      </c>
      <c r="E28" s="98">
        <f>C28+D28</f>
        <v/>
      </c>
      <c r="F28" s="98">
        <f>B28*Inputs!$C$29</f>
        <v/>
      </c>
      <c r="G28" s="98">
        <f>Inputs!$B$16</f>
        <v/>
      </c>
      <c r="H28" s="98">
        <f>Inputs!$B$17</f>
        <v/>
      </c>
      <c r="I28" s="98">
        <f>Inputs!$C$30</f>
        <v/>
      </c>
      <c r="J28" s="98">
        <f>E28-F28-G28-H28-I28</f>
        <v/>
      </c>
      <c r="K28" s="109">
        <f>IFERROR(J28/E28,0)</f>
        <v/>
      </c>
      <c r="L28" s="98">
        <f>SUM($J$4:J28)</f>
        <v/>
      </c>
    </row>
    <row r="29">
      <c r="A29" s="97" t="n">
        <v>26</v>
      </c>
      <c r="B29" s="97">
        <f>Socios_36M!C29</f>
        <v/>
      </c>
      <c r="C29" s="98">
        <f>B29*Inputs!$C$27/(1+Inputs!$B$12)</f>
        <v/>
      </c>
      <c r="D29" s="98">
        <f>B29*Inputs!$C$28/(1+Inputs!$B$12)</f>
        <v/>
      </c>
      <c r="E29" s="98">
        <f>C29+D29</f>
        <v/>
      </c>
      <c r="F29" s="98">
        <f>B29*Inputs!$C$29</f>
        <v/>
      </c>
      <c r="G29" s="98">
        <f>Inputs!$B$16</f>
        <v/>
      </c>
      <c r="H29" s="98">
        <f>Inputs!$B$17</f>
        <v/>
      </c>
      <c r="I29" s="98">
        <f>Inputs!$C$30</f>
        <v/>
      </c>
      <c r="J29" s="98">
        <f>E29-F29-G29-H29-I29</f>
        <v/>
      </c>
      <c r="K29" s="109">
        <f>IFERROR(J29/E29,0)</f>
        <v/>
      </c>
      <c r="L29" s="98">
        <f>SUM($J$4:J29)</f>
        <v/>
      </c>
    </row>
    <row r="30">
      <c r="A30" s="97" t="n">
        <v>27</v>
      </c>
      <c r="B30" s="97">
        <f>Socios_36M!C30</f>
        <v/>
      </c>
      <c r="C30" s="98">
        <f>B30*Inputs!$C$27/(1+Inputs!$B$12)</f>
        <v/>
      </c>
      <c r="D30" s="98">
        <f>B30*Inputs!$C$28/(1+Inputs!$B$12)</f>
        <v/>
      </c>
      <c r="E30" s="98">
        <f>C30+D30</f>
        <v/>
      </c>
      <c r="F30" s="98">
        <f>B30*Inputs!$C$29</f>
        <v/>
      </c>
      <c r="G30" s="98">
        <f>Inputs!$B$16</f>
        <v/>
      </c>
      <c r="H30" s="98">
        <f>Inputs!$B$17</f>
        <v/>
      </c>
      <c r="I30" s="98">
        <f>Inputs!$C$30</f>
        <v/>
      </c>
      <c r="J30" s="98">
        <f>E30-F30-G30-H30-I30</f>
        <v/>
      </c>
      <c r="K30" s="109">
        <f>IFERROR(J30/E30,0)</f>
        <v/>
      </c>
      <c r="L30" s="98">
        <f>SUM($J$4:J30)</f>
        <v/>
      </c>
    </row>
    <row r="31">
      <c r="A31" s="97" t="n">
        <v>28</v>
      </c>
      <c r="B31" s="97">
        <f>Socios_36M!C31</f>
        <v/>
      </c>
      <c r="C31" s="98">
        <f>B31*Inputs!$C$27/(1+Inputs!$B$12)</f>
        <v/>
      </c>
      <c r="D31" s="98">
        <f>B31*Inputs!$C$28/(1+Inputs!$B$12)</f>
        <v/>
      </c>
      <c r="E31" s="98">
        <f>C31+D31</f>
        <v/>
      </c>
      <c r="F31" s="98">
        <f>B31*Inputs!$C$29</f>
        <v/>
      </c>
      <c r="G31" s="98">
        <f>Inputs!$B$16</f>
        <v/>
      </c>
      <c r="H31" s="98">
        <f>Inputs!$B$17</f>
        <v/>
      </c>
      <c r="I31" s="98">
        <f>Inputs!$C$30</f>
        <v/>
      </c>
      <c r="J31" s="98">
        <f>E31-F31-G31-H31-I31</f>
        <v/>
      </c>
      <c r="K31" s="109">
        <f>IFERROR(J31/E31,0)</f>
        <v/>
      </c>
      <c r="L31" s="98">
        <f>SUM($J$4:J31)</f>
        <v/>
      </c>
    </row>
    <row r="32">
      <c r="A32" s="97" t="n">
        <v>29</v>
      </c>
      <c r="B32" s="97">
        <f>Socios_36M!C32</f>
        <v/>
      </c>
      <c r="C32" s="98">
        <f>B32*Inputs!$C$27/(1+Inputs!$B$12)</f>
        <v/>
      </c>
      <c r="D32" s="98">
        <f>B32*Inputs!$C$28/(1+Inputs!$B$12)</f>
        <v/>
      </c>
      <c r="E32" s="98">
        <f>C32+D32</f>
        <v/>
      </c>
      <c r="F32" s="98">
        <f>B32*Inputs!$C$29</f>
        <v/>
      </c>
      <c r="G32" s="98">
        <f>Inputs!$B$16</f>
        <v/>
      </c>
      <c r="H32" s="98">
        <f>Inputs!$B$17</f>
        <v/>
      </c>
      <c r="I32" s="98">
        <f>Inputs!$C$30</f>
        <v/>
      </c>
      <c r="J32" s="98">
        <f>E32-F32-G32-H32-I32</f>
        <v/>
      </c>
      <c r="K32" s="109">
        <f>IFERROR(J32/E32,0)</f>
        <v/>
      </c>
      <c r="L32" s="98">
        <f>SUM($J$4:J32)</f>
        <v/>
      </c>
    </row>
    <row r="33">
      <c r="A33" s="97" t="n">
        <v>30</v>
      </c>
      <c r="B33" s="97">
        <f>Socios_36M!C33</f>
        <v/>
      </c>
      <c r="C33" s="98">
        <f>B33*Inputs!$C$27/(1+Inputs!$B$12)</f>
        <v/>
      </c>
      <c r="D33" s="98">
        <f>B33*Inputs!$C$28/(1+Inputs!$B$12)</f>
        <v/>
      </c>
      <c r="E33" s="98">
        <f>C33+D33</f>
        <v/>
      </c>
      <c r="F33" s="98">
        <f>B33*Inputs!$C$29</f>
        <v/>
      </c>
      <c r="G33" s="98">
        <f>Inputs!$B$16</f>
        <v/>
      </c>
      <c r="H33" s="98">
        <f>Inputs!$B$17</f>
        <v/>
      </c>
      <c r="I33" s="98">
        <f>Inputs!$C$30</f>
        <v/>
      </c>
      <c r="J33" s="98">
        <f>E33-F33-G33-H33-I33</f>
        <v/>
      </c>
      <c r="K33" s="109">
        <f>IFERROR(J33/E33,0)</f>
        <v/>
      </c>
      <c r="L33" s="98">
        <f>SUM($J$4:J33)</f>
        <v/>
      </c>
    </row>
    <row r="34">
      <c r="A34" s="97" t="n">
        <v>31</v>
      </c>
      <c r="B34" s="97">
        <f>Socios_36M!C34</f>
        <v/>
      </c>
      <c r="C34" s="98">
        <f>B34*Inputs!$C$27/(1+Inputs!$B$12)</f>
        <v/>
      </c>
      <c r="D34" s="98">
        <f>B34*Inputs!$C$28/(1+Inputs!$B$12)</f>
        <v/>
      </c>
      <c r="E34" s="98">
        <f>C34+D34</f>
        <v/>
      </c>
      <c r="F34" s="98">
        <f>B34*Inputs!$C$29</f>
        <v/>
      </c>
      <c r="G34" s="98">
        <f>Inputs!$B$16</f>
        <v/>
      </c>
      <c r="H34" s="98">
        <f>Inputs!$B$17</f>
        <v/>
      </c>
      <c r="I34" s="98">
        <f>Inputs!$C$30</f>
        <v/>
      </c>
      <c r="J34" s="98">
        <f>E34-F34-G34-H34-I34</f>
        <v/>
      </c>
      <c r="K34" s="109">
        <f>IFERROR(J34/E34,0)</f>
        <v/>
      </c>
      <c r="L34" s="98">
        <f>SUM($J$4:J34)</f>
        <v/>
      </c>
    </row>
    <row r="35">
      <c r="A35" s="97" t="n">
        <v>32</v>
      </c>
      <c r="B35" s="97">
        <f>Socios_36M!C35</f>
        <v/>
      </c>
      <c r="C35" s="98">
        <f>B35*Inputs!$C$27/(1+Inputs!$B$12)</f>
        <v/>
      </c>
      <c r="D35" s="98">
        <f>B35*Inputs!$C$28/(1+Inputs!$B$12)</f>
        <v/>
      </c>
      <c r="E35" s="98">
        <f>C35+D35</f>
        <v/>
      </c>
      <c r="F35" s="98">
        <f>B35*Inputs!$C$29</f>
        <v/>
      </c>
      <c r="G35" s="98">
        <f>Inputs!$B$16</f>
        <v/>
      </c>
      <c r="H35" s="98">
        <f>Inputs!$B$17</f>
        <v/>
      </c>
      <c r="I35" s="98">
        <f>Inputs!$C$30</f>
        <v/>
      </c>
      <c r="J35" s="98">
        <f>E35-F35-G35-H35-I35</f>
        <v/>
      </c>
      <c r="K35" s="109">
        <f>IFERROR(J35/E35,0)</f>
        <v/>
      </c>
      <c r="L35" s="98">
        <f>SUM($J$4:J35)</f>
        <v/>
      </c>
    </row>
    <row r="36">
      <c r="A36" s="97" t="n">
        <v>33</v>
      </c>
      <c r="B36" s="97">
        <f>Socios_36M!C36</f>
        <v/>
      </c>
      <c r="C36" s="98">
        <f>B36*Inputs!$C$27/(1+Inputs!$B$12)</f>
        <v/>
      </c>
      <c r="D36" s="98">
        <f>B36*Inputs!$C$28/(1+Inputs!$B$12)</f>
        <v/>
      </c>
      <c r="E36" s="98">
        <f>C36+D36</f>
        <v/>
      </c>
      <c r="F36" s="98">
        <f>B36*Inputs!$C$29</f>
        <v/>
      </c>
      <c r="G36" s="98">
        <f>Inputs!$B$16</f>
        <v/>
      </c>
      <c r="H36" s="98">
        <f>Inputs!$B$17</f>
        <v/>
      </c>
      <c r="I36" s="98">
        <f>Inputs!$C$30</f>
        <v/>
      </c>
      <c r="J36" s="98">
        <f>E36-F36-G36-H36-I36</f>
        <v/>
      </c>
      <c r="K36" s="109">
        <f>IFERROR(J36/E36,0)</f>
        <v/>
      </c>
      <c r="L36" s="98">
        <f>SUM($J$4:J36)</f>
        <v/>
      </c>
    </row>
    <row r="37">
      <c r="A37" s="97" t="n">
        <v>34</v>
      </c>
      <c r="B37" s="97">
        <f>Socios_36M!C37</f>
        <v/>
      </c>
      <c r="C37" s="98">
        <f>B37*Inputs!$C$27/(1+Inputs!$B$12)</f>
        <v/>
      </c>
      <c r="D37" s="98">
        <f>B37*Inputs!$C$28/(1+Inputs!$B$12)</f>
        <v/>
      </c>
      <c r="E37" s="98">
        <f>C37+D37</f>
        <v/>
      </c>
      <c r="F37" s="98">
        <f>B37*Inputs!$C$29</f>
        <v/>
      </c>
      <c r="G37" s="98">
        <f>Inputs!$B$16</f>
        <v/>
      </c>
      <c r="H37" s="98">
        <f>Inputs!$B$17</f>
        <v/>
      </c>
      <c r="I37" s="98">
        <f>Inputs!$C$30</f>
        <v/>
      </c>
      <c r="J37" s="98">
        <f>E37-F37-G37-H37-I37</f>
        <v/>
      </c>
      <c r="K37" s="109">
        <f>IFERROR(J37/E37,0)</f>
        <v/>
      </c>
      <c r="L37" s="98">
        <f>SUM($J$4:J37)</f>
        <v/>
      </c>
    </row>
    <row r="38">
      <c r="A38" s="97" t="n">
        <v>35</v>
      </c>
      <c r="B38" s="97">
        <f>Socios_36M!C38</f>
        <v/>
      </c>
      <c r="C38" s="98">
        <f>B38*Inputs!$C$27/(1+Inputs!$B$12)</f>
        <v/>
      </c>
      <c r="D38" s="98">
        <f>B38*Inputs!$C$28/(1+Inputs!$B$12)</f>
        <v/>
      </c>
      <c r="E38" s="98">
        <f>C38+D38</f>
        <v/>
      </c>
      <c r="F38" s="98">
        <f>B38*Inputs!$C$29</f>
        <v/>
      </c>
      <c r="G38" s="98">
        <f>Inputs!$B$16</f>
        <v/>
      </c>
      <c r="H38" s="98">
        <f>Inputs!$B$17</f>
        <v/>
      </c>
      <c r="I38" s="98">
        <f>Inputs!$C$30</f>
        <v/>
      </c>
      <c r="J38" s="98">
        <f>E38-F38-G38-H38-I38</f>
        <v/>
      </c>
      <c r="K38" s="109">
        <f>IFERROR(J38/E38,0)</f>
        <v/>
      </c>
      <c r="L38" s="98">
        <f>SUM($J$4:J38)</f>
        <v/>
      </c>
    </row>
    <row r="39">
      <c r="A39" s="97" t="n">
        <v>36</v>
      </c>
      <c r="B39" s="97">
        <f>Socios_36M!C39</f>
        <v/>
      </c>
      <c r="C39" s="98">
        <f>B39*Inputs!$C$27/(1+Inputs!$B$12)</f>
        <v/>
      </c>
      <c r="D39" s="98">
        <f>B39*Inputs!$C$28/(1+Inputs!$B$12)</f>
        <v/>
      </c>
      <c r="E39" s="98">
        <f>C39+D39</f>
        <v/>
      </c>
      <c r="F39" s="98">
        <f>B39*Inputs!$C$29</f>
        <v/>
      </c>
      <c r="G39" s="98">
        <f>Inputs!$B$16</f>
        <v/>
      </c>
      <c r="H39" s="98">
        <f>Inputs!$B$17</f>
        <v/>
      </c>
      <c r="I39" s="98">
        <f>Inputs!$C$30</f>
        <v/>
      </c>
      <c r="J39" s="98">
        <f>E39-F39-G39-H39-I39</f>
        <v/>
      </c>
      <c r="K39" s="109">
        <f>IFERROR(J39/E39,0)</f>
        <v/>
      </c>
      <c r="L39" s="98">
        <f>SUM($J$4:J39)</f>
        <v/>
      </c>
    </row>
  </sheetData>
  <mergeCells count="1">
    <mergeCell ref="A1:M1"/>
  </mergeCells>
  <conditionalFormatting sqref="J4:J39">
    <cfRule type="expression" priority="1" dxfId="0">
      <formula>J4&lt;0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35" customWidth="1" min="11" max="11"/>
  </cols>
  <sheetData>
    <row r="1" ht="28" customHeight="1">
      <c r="A1" s="9" t="inlineStr">
        <is>
          <t>Cash flow y préstamo privado - Escenario 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3" ht="22" customHeight="1">
      <c r="A3" s="23" t="inlineStr">
        <is>
          <t>Mes</t>
        </is>
      </c>
      <c r="B3" s="23" t="inlineStr">
        <is>
          <t>EBITDA</t>
        </is>
      </c>
      <c r="C3" s="23" t="inlineStr">
        <is>
          <t>Capex pendiente</t>
        </is>
      </c>
      <c r="D3" s="23" t="inlineStr">
        <is>
          <t>Saldo inicial deuda</t>
        </is>
      </c>
      <c r="E3" s="23" t="inlineStr">
        <is>
          <t>Interés</t>
        </is>
      </c>
      <c r="F3" s="23" t="inlineStr">
        <is>
          <t>Pago total</t>
        </is>
      </c>
      <c r="G3" s="23" t="inlineStr">
        <is>
          <t>Amortización capital</t>
        </is>
      </c>
      <c r="H3" s="23" t="inlineStr">
        <is>
          <t>Saldo final deuda</t>
        </is>
      </c>
      <c r="I3" s="23" t="inlineStr">
        <is>
          <t>Cash flow mensual</t>
        </is>
      </c>
      <c r="J3" s="23" t="inlineStr">
        <is>
          <t>Caja acumulada</t>
        </is>
      </c>
      <c r="K3" s="23" t="inlineStr">
        <is>
          <t>Nota</t>
        </is>
      </c>
      <c r="L3" t="inlineStr">
        <is>
          <t>Entrada de préstamo</t>
        </is>
      </c>
    </row>
    <row r="4">
      <c r="A4" s="97" t="n">
        <v>1</v>
      </c>
      <c r="B4" s="98">
        <f>PnL_36M!J4</f>
        <v/>
      </c>
      <c r="C4" s="98">
        <f>IF(A4=1,Inputs!$B$18,0)</f>
        <v/>
      </c>
      <c r="D4" s="98">
        <f>Inputs!$B$6</f>
        <v/>
      </c>
      <c r="E4" s="98">
        <f>D4*Inputs!$B$9/12</f>
        <v/>
      </c>
      <c r="F4" s="98">
        <f>IF(A4&lt;=Inputs!$B$11,E4,MIN(D4+E4,-PMT(Inputs!$B$9/12,Inputs!$B$10-Inputs!$B$11,Inputs!$B$6)))</f>
        <v/>
      </c>
      <c r="G4" s="98">
        <f>MAX(0,F4-E4)</f>
        <v/>
      </c>
      <c r="H4" s="98">
        <f>MAX(0,D4-G4)</f>
        <v/>
      </c>
      <c r="I4" s="98">
        <f>B4-C4-F4+L4</f>
        <v/>
      </c>
      <c r="J4" s="98">
        <f>Inputs!$B$8+I4</f>
        <v/>
      </c>
      <c r="L4">
        <f>IF(A4=1,Inputs!$B$6,0)</f>
        <v/>
      </c>
    </row>
    <row r="5">
      <c r="A5" s="97" t="n">
        <v>2</v>
      </c>
      <c r="B5" s="98">
        <f>PnL_36M!J5</f>
        <v/>
      </c>
      <c r="C5" s="98">
        <f>IF(A5=1,Inputs!$B$18,0)</f>
        <v/>
      </c>
      <c r="D5" s="98">
        <f>H4</f>
        <v/>
      </c>
      <c r="E5" s="98">
        <f>D5*Inputs!$B$9/12</f>
        <v/>
      </c>
      <c r="F5" s="98">
        <f>IF(A5&lt;=Inputs!$B$11,E5,MIN(D5+E5,-PMT(Inputs!$B$9/12,Inputs!$B$10-Inputs!$B$11,Inputs!$B$6)))</f>
        <v/>
      </c>
      <c r="G5" s="98">
        <f>MAX(0,F5-E5)</f>
        <v/>
      </c>
      <c r="H5" s="98">
        <f>MAX(0,D5-G5)</f>
        <v/>
      </c>
      <c r="I5" s="98">
        <f>B5-C5-F5+L5</f>
        <v/>
      </c>
      <c r="J5" s="98">
        <f>J4+I5</f>
        <v/>
      </c>
      <c r="L5">
        <f>IF(A5=1,Inputs!$B$6,0)</f>
        <v/>
      </c>
    </row>
    <row r="6">
      <c r="A6" s="97" t="n">
        <v>3</v>
      </c>
      <c r="B6" s="98">
        <f>PnL_36M!J6</f>
        <v/>
      </c>
      <c r="C6" s="98">
        <f>IF(A6=1,Inputs!$B$18,0)</f>
        <v/>
      </c>
      <c r="D6" s="98">
        <f>H5</f>
        <v/>
      </c>
      <c r="E6" s="98">
        <f>D6*Inputs!$B$9/12</f>
        <v/>
      </c>
      <c r="F6" s="98">
        <f>IF(A6&lt;=Inputs!$B$11,E6,MIN(D6+E6,-PMT(Inputs!$B$9/12,Inputs!$B$10-Inputs!$B$11,Inputs!$B$6)))</f>
        <v/>
      </c>
      <c r="G6" s="98">
        <f>MAX(0,F6-E6)</f>
        <v/>
      </c>
      <c r="H6" s="98">
        <f>MAX(0,D6-G6)</f>
        <v/>
      </c>
      <c r="I6" s="98">
        <f>B6-C6-F6+L6</f>
        <v/>
      </c>
      <c r="J6" s="98">
        <f>J5+I6</f>
        <v/>
      </c>
      <c r="L6">
        <f>IF(A6=1,Inputs!$B$6,0)</f>
        <v/>
      </c>
    </row>
    <row r="7">
      <c r="A7" s="97" t="n">
        <v>4</v>
      </c>
      <c r="B7" s="98">
        <f>PnL_36M!J7</f>
        <v/>
      </c>
      <c r="C7" s="98">
        <f>IF(A7=1,Inputs!$B$18,0)</f>
        <v/>
      </c>
      <c r="D7" s="98">
        <f>H6</f>
        <v/>
      </c>
      <c r="E7" s="98">
        <f>D7*Inputs!$B$9/12</f>
        <v/>
      </c>
      <c r="F7" s="98">
        <f>IF(A7&lt;=Inputs!$B$11,E7,MIN(D7+E7,-PMT(Inputs!$B$9/12,Inputs!$B$10-Inputs!$B$11,Inputs!$B$6)))</f>
        <v/>
      </c>
      <c r="G7" s="98">
        <f>MAX(0,F7-E7)</f>
        <v/>
      </c>
      <c r="H7" s="98">
        <f>MAX(0,D7-G7)</f>
        <v/>
      </c>
      <c r="I7" s="98">
        <f>B7-C7-F7+L7</f>
        <v/>
      </c>
      <c r="J7" s="98">
        <f>J6+I7</f>
        <v/>
      </c>
      <c r="L7">
        <f>IF(A7=1,Inputs!$B$6,0)</f>
        <v/>
      </c>
    </row>
    <row r="8">
      <c r="A8" s="97" t="n">
        <v>5</v>
      </c>
      <c r="B8" s="98">
        <f>PnL_36M!J8</f>
        <v/>
      </c>
      <c r="C8" s="98">
        <f>IF(A8=1,Inputs!$B$18,0)</f>
        <v/>
      </c>
      <c r="D8" s="98">
        <f>H7</f>
        <v/>
      </c>
      <c r="E8" s="98">
        <f>D8*Inputs!$B$9/12</f>
        <v/>
      </c>
      <c r="F8" s="98">
        <f>IF(A8&lt;=Inputs!$B$11,E8,MIN(D8+E8,-PMT(Inputs!$B$9/12,Inputs!$B$10-Inputs!$B$11,Inputs!$B$6)))</f>
        <v/>
      </c>
      <c r="G8" s="98">
        <f>MAX(0,F8-E8)</f>
        <v/>
      </c>
      <c r="H8" s="98">
        <f>MAX(0,D8-G8)</f>
        <v/>
      </c>
      <c r="I8" s="98">
        <f>B8-C8-F8+L8</f>
        <v/>
      </c>
      <c r="J8" s="98">
        <f>J7+I8</f>
        <v/>
      </c>
      <c r="L8">
        <f>IF(A8=1,Inputs!$B$6,0)</f>
        <v/>
      </c>
    </row>
    <row r="9">
      <c r="A9" s="97" t="n">
        <v>6</v>
      </c>
      <c r="B9" s="98">
        <f>PnL_36M!J9</f>
        <v/>
      </c>
      <c r="C9" s="98">
        <f>IF(A9=1,Inputs!$B$18,0)</f>
        <v/>
      </c>
      <c r="D9" s="98">
        <f>H8</f>
        <v/>
      </c>
      <c r="E9" s="98">
        <f>D9*Inputs!$B$9/12</f>
        <v/>
      </c>
      <c r="F9" s="98">
        <f>IF(A9&lt;=Inputs!$B$11,E9,MIN(D9+E9,-PMT(Inputs!$B$9/12,Inputs!$B$10-Inputs!$B$11,Inputs!$B$6)))</f>
        <v/>
      </c>
      <c r="G9" s="98">
        <f>MAX(0,F9-E9)</f>
        <v/>
      </c>
      <c r="H9" s="98">
        <f>MAX(0,D9-G9)</f>
        <v/>
      </c>
      <c r="I9" s="98">
        <f>B9-C9-F9+L9</f>
        <v/>
      </c>
      <c r="J9" s="98">
        <f>J8+I9</f>
        <v/>
      </c>
      <c r="L9">
        <f>IF(A9=1,Inputs!$B$6,0)</f>
        <v/>
      </c>
    </row>
    <row r="10">
      <c r="A10" s="97" t="n">
        <v>7</v>
      </c>
      <c r="B10" s="98">
        <f>PnL_36M!J10</f>
        <v/>
      </c>
      <c r="C10" s="98">
        <f>IF(A10=1,Inputs!$B$18,0)</f>
        <v/>
      </c>
      <c r="D10" s="98">
        <f>H9</f>
        <v/>
      </c>
      <c r="E10" s="98">
        <f>D10*Inputs!$B$9/12</f>
        <v/>
      </c>
      <c r="F10" s="98">
        <f>IF(A10&lt;=Inputs!$B$11,E10,MIN(D10+E10,-PMT(Inputs!$B$9/12,Inputs!$B$10-Inputs!$B$11,Inputs!$B$6)))</f>
        <v/>
      </c>
      <c r="G10" s="98">
        <f>MAX(0,F10-E10)</f>
        <v/>
      </c>
      <c r="H10" s="98">
        <f>MAX(0,D10-G10)</f>
        <v/>
      </c>
      <c r="I10" s="98">
        <f>B10-C10-F10+L10</f>
        <v/>
      </c>
      <c r="J10" s="98">
        <f>J9+I10</f>
        <v/>
      </c>
      <c r="L10">
        <f>IF(A10=1,Inputs!$B$6,0)</f>
        <v/>
      </c>
    </row>
    <row r="11">
      <c r="A11" s="97" t="n">
        <v>8</v>
      </c>
      <c r="B11" s="98">
        <f>PnL_36M!J11</f>
        <v/>
      </c>
      <c r="C11" s="98">
        <f>IF(A11=1,Inputs!$B$18,0)</f>
        <v/>
      </c>
      <c r="D11" s="98">
        <f>H10</f>
        <v/>
      </c>
      <c r="E11" s="98">
        <f>D11*Inputs!$B$9/12</f>
        <v/>
      </c>
      <c r="F11" s="98">
        <f>IF(A11&lt;=Inputs!$B$11,E11,MIN(D11+E11,-PMT(Inputs!$B$9/12,Inputs!$B$10-Inputs!$B$11,Inputs!$B$6)))</f>
        <v/>
      </c>
      <c r="G11" s="98">
        <f>MAX(0,F11-E11)</f>
        <v/>
      </c>
      <c r="H11" s="98">
        <f>MAX(0,D11-G11)</f>
        <v/>
      </c>
      <c r="I11" s="98">
        <f>B11-C11-F11+L11</f>
        <v/>
      </c>
      <c r="J11" s="98">
        <f>J10+I11</f>
        <v/>
      </c>
      <c r="L11">
        <f>IF(A11=1,Inputs!$B$6,0)</f>
        <v/>
      </c>
    </row>
    <row r="12">
      <c r="A12" s="97" t="n">
        <v>9</v>
      </c>
      <c r="B12" s="98">
        <f>PnL_36M!J12</f>
        <v/>
      </c>
      <c r="C12" s="98">
        <f>IF(A12=1,Inputs!$B$18,0)</f>
        <v/>
      </c>
      <c r="D12" s="98">
        <f>H11</f>
        <v/>
      </c>
      <c r="E12" s="98">
        <f>D12*Inputs!$B$9/12</f>
        <v/>
      </c>
      <c r="F12" s="98">
        <f>IF(A12&lt;=Inputs!$B$11,E12,MIN(D12+E12,-PMT(Inputs!$B$9/12,Inputs!$B$10-Inputs!$B$11,Inputs!$B$6)))</f>
        <v/>
      </c>
      <c r="G12" s="98">
        <f>MAX(0,F12-E12)</f>
        <v/>
      </c>
      <c r="H12" s="98">
        <f>MAX(0,D12-G12)</f>
        <v/>
      </c>
      <c r="I12" s="98">
        <f>B12-C12-F12+L12</f>
        <v/>
      </c>
      <c r="J12" s="98">
        <f>J11+I12</f>
        <v/>
      </c>
      <c r="L12">
        <f>IF(A12=1,Inputs!$B$6,0)</f>
        <v/>
      </c>
    </row>
    <row r="13">
      <c r="A13" s="97" t="n">
        <v>10</v>
      </c>
      <c r="B13" s="98">
        <f>PnL_36M!J13</f>
        <v/>
      </c>
      <c r="C13" s="98">
        <f>IF(A13=1,Inputs!$B$18,0)</f>
        <v/>
      </c>
      <c r="D13" s="98">
        <f>H12</f>
        <v/>
      </c>
      <c r="E13" s="98">
        <f>D13*Inputs!$B$9/12</f>
        <v/>
      </c>
      <c r="F13" s="98">
        <f>IF(A13&lt;=Inputs!$B$11,E13,MIN(D13+E13,-PMT(Inputs!$B$9/12,Inputs!$B$10-Inputs!$B$11,Inputs!$B$6)))</f>
        <v/>
      </c>
      <c r="G13" s="98">
        <f>MAX(0,F13-E13)</f>
        <v/>
      </c>
      <c r="H13" s="98">
        <f>MAX(0,D13-G13)</f>
        <v/>
      </c>
      <c r="I13" s="98">
        <f>B13-C13-F13+L13</f>
        <v/>
      </c>
      <c r="J13" s="98">
        <f>J12+I13</f>
        <v/>
      </c>
      <c r="L13">
        <f>IF(A13=1,Inputs!$B$6,0)</f>
        <v/>
      </c>
    </row>
    <row r="14">
      <c r="A14" s="97" t="n">
        <v>11</v>
      </c>
      <c r="B14" s="98">
        <f>PnL_36M!J14</f>
        <v/>
      </c>
      <c r="C14" s="98">
        <f>IF(A14=1,Inputs!$B$18,0)</f>
        <v/>
      </c>
      <c r="D14" s="98">
        <f>H13</f>
        <v/>
      </c>
      <c r="E14" s="98">
        <f>D14*Inputs!$B$9/12</f>
        <v/>
      </c>
      <c r="F14" s="98">
        <f>IF(A14&lt;=Inputs!$B$11,E14,MIN(D14+E14,-PMT(Inputs!$B$9/12,Inputs!$B$10-Inputs!$B$11,Inputs!$B$6)))</f>
        <v/>
      </c>
      <c r="G14" s="98">
        <f>MAX(0,F14-E14)</f>
        <v/>
      </c>
      <c r="H14" s="98">
        <f>MAX(0,D14-G14)</f>
        <v/>
      </c>
      <c r="I14" s="98">
        <f>B14-C14-F14+L14</f>
        <v/>
      </c>
      <c r="J14" s="98">
        <f>J13+I14</f>
        <v/>
      </c>
      <c r="L14">
        <f>IF(A14=1,Inputs!$B$6,0)</f>
        <v/>
      </c>
    </row>
    <row r="15">
      <c r="A15" s="97" t="n">
        <v>12</v>
      </c>
      <c r="B15" s="98">
        <f>PnL_36M!J15</f>
        <v/>
      </c>
      <c r="C15" s="98">
        <f>IF(A15=1,Inputs!$B$18,0)</f>
        <v/>
      </c>
      <c r="D15" s="98">
        <f>H14</f>
        <v/>
      </c>
      <c r="E15" s="98">
        <f>D15*Inputs!$B$9/12</f>
        <v/>
      </c>
      <c r="F15" s="98">
        <f>IF(A15&lt;=Inputs!$B$11,E15,MIN(D15+E15,-PMT(Inputs!$B$9/12,Inputs!$B$10-Inputs!$B$11,Inputs!$B$6)))</f>
        <v/>
      </c>
      <c r="G15" s="98">
        <f>MAX(0,F15-E15)</f>
        <v/>
      </c>
      <c r="H15" s="98">
        <f>MAX(0,D15-G15)</f>
        <v/>
      </c>
      <c r="I15" s="98">
        <f>B15-C15-F15+L15</f>
        <v/>
      </c>
      <c r="J15" s="98">
        <f>J14+I15</f>
        <v/>
      </c>
      <c r="L15">
        <f>IF(A15=1,Inputs!$B$6,0)</f>
        <v/>
      </c>
    </row>
    <row r="16">
      <c r="A16" s="97" t="n">
        <v>13</v>
      </c>
      <c r="B16" s="98">
        <f>PnL_36M!J16</f>
        <v/>
      </c>
      <c r="C16" s="98">
        <f>IF(A16=1,Inputs!$B$18,0)</f>
        <v/>
      </c>
      <c r="D16" s="98">
        <f>H15</f>
        <v/>
      </c>
      <c r="E16" s="98">
        <f>D16*Inputs!$B$9/12</f>
        <v/>
      </c>
      <c r="F16" s="98">
        <f>IF(A16&lt;=Inputs!$B$11,E16,MIN(D16+E16,-PMT(Inputs!$B$9/12,Inputs!$B$10-Inputs!$B$11,Inputs!$B$6)))</f>
        <v/>
      </c>
      <c r="G16" s="98">
        <f>MAX(0,F16-E16)</f>
        <v/>
      </c>
      <c r="H16" s="98">
        <f>MAX(0,D16-G16)</f>
        <v/>
      </c>
      <c r="I16" s="98">
        <f>B16-C16-F16+L16</f>
        <v/>
      </c>
      <c r="J16" s="98">
        <f>J15+I16</f>
        <v/>
      </c>
      <c r="L16">
        <f>IF(A16=1,Inputs!$B$6,0)</f>
        <v/>
      </c>
    </row>
    <row r="17">
      <c r="A17" s="97" t="n">
        <v>14</v>
      </c>
      <c r="B17" s="98">
        <f>PnL_36M!J17</f>
        <v/>
      </c>
      <c r="C17" s="98">
        <f>IF(A17=1,Inputs!$B$18,0)</f>
        <v/>
      </c>
      <c r="D17" s="98">
        <f>H16</f>
        <v/>
      </c>
      <c r="E17" s="98">
        <f>D17*Inputs!$B$9/12</f>
        <v/>
      </c>
      <c r="F17" s="98">
        <f>IF(A17&lt;=Inputs!$B$11,E17,MIN(D17+E17,-PMT(Inputs!$B$9/12,Inputs!$B$10-Inputs!$B$11,Inputs!$B$6)))</f>
        <v/>
      </c>
      <c r="G17" s="98">
        <f>MAX(0,F17-E17)</f>
        <v/>
      </c>
      <c r="H17" s="98">
        <f>MAX(0,D17-G17)</f>
        <v/>
      </c>
      <c r="I17" s="98">
        <f>B17-C17-F17+L17</f>
        <v/>
      </c>
      <c r="J17" s="98">
        <f>J16+I17</f>
        <v/>
      </c>
      <c r="L17">
        <f>IF(A17=1,Inputs!$B$6,0)</f>
        <v/>
      </c>
    </row>
    <row r="18">
      <c r="A18" s="97" t="n">
        <v>15</v>
      </c>
      <c r="B18" s="98">
        <f>PnL_36M!J18</f>
        <v/>
      </c>
      <c r="C18" s="98">
        <f>IF(A18=1,Inputs!$B$18,0)</f>
        <v/>
      </c>
      <c r="D18" s="98">
        <f>H17</f>
        <v/>
      </c>
      <c r="E18" s="98">
        <f>D18*Inputs!$B$9/12</f>
        <v/>
      </c>
      <c r="F18" s="98">
        <f>IF(A18&lt;=Inputs!$B$11,E18,MIN(D18+E18,-PMT(Inputs!$B$9/12,Inputs!$B$10-Inputs!$B$11,Inputs!$B$6)))</f>
        <v/>
      </c>
      <c r="G18" s="98">
        <f>MAX(0,F18-E18)</f>
        <v/>
      </c>
      <c r="H18" s="98">
        <f>MAX(0,D18-G18)</f>
        <v/>
      </c>
      <c r="I18" s="98">
        <f>B18-C18-F18+L18</f>
        <v/>
      </c>
      <c r="J18" s="98">
        <f>J17+I18</f>
        <v/>
      </c>
      <c r="L18">
        <f>IF(A18=1,Inputs!$B$6,0)</f>
        <v/>
      </c>
    </row>
    <row r="19">
      <c r="A19" s="97" t="n">
        <v>16</v>
      </c>
      <c r="B19" s="98">
        <f>PnL_36M!J19</f>
        <v/>
      </c>
      <c r="C19" s="98">
        <f>IF(A19=1,Inputs!$B$18,0)</f>
        <v/>
      </c>
      <c r="D19" s="98">
        <f>H18</f>
        <v/>
      </c>
      <c r="E19" s="98">
        <f>D19*Inputs!$B$9/12</f>
        <v/>
      </c>
      <c r="F19" s="98">
        <f>IF(A19&lt;=Inputs!$B$11,E19,MIN(D19+E19,-PMT(Inputs!$B$9/12,Inputs!$B$10-Inputs!$B$11,Inputs!$B$6)))</f>
        <v/>
      </c>
      <c r="G19" s="98">
        <f>MAX(0,F19-E19)</f>
        <v/>
      </c>
      <c r="H19" s="98">
        <f>MAX(0,D19-G19)</f>
        <v/>
      </c>
      <c r="I19" s="98">
        <f>B19-C19-F19+L19</f>
        <v/>
      </c>
      <c r="J19" s="98">
        <f>J18+I19</f>
        <v/>
      </c>
      <c r="L19">
        <f>IF(A19=1,Inputs!$B$6,0)</f>
        <v/>
      </c>
    </row>
    <row r="20">
      <c r="A20" s="97" t="n">
        <v>17</v>
      </c>
      <c r="B20" s="98">
        <f>PnL_36M!J20</f>
        <v/>
      </c>
      <c r="C20" s="98">
        <f>IF(A20=1,Inputs!$B$18,0)</f>
        <v/>
      </c>
      <c r="D20" s="98">
        <f>H19</f>
        <v/>
      </c>
      <c r="E20" s="98">
        <f>D20*Inputs!$B$9/12</f>
        <v/>
      </c>
      <c r="F20" s="98">
        <f>IF(A20&lt;=Inputs!$B$11,E20,MIN(D20+E20,-PMT(Inputs!$B$9/12,Inputs!$B$10-Inputs!$B$11,Inputs!$B$6)))</f>
        <v/>
      </c>
      <c r="G20" s="98">
        <f>MAX(0,F20-E20)</f>
        <v/>
      </c>
      <c r="H20" s="98">
        <f>MAX(0,D20-G20)</f>
        <v/>
      </c>
      <c r="I20" s="98">
        <f>B20-C20-F20+L20</f>
        <v/>
      </c>
      <c r="J20" s="98">
        <f>J19+I20</f>
        <v/>
      </c>
      <c r="L20">
        <f>IF(A20=1,Inputs!$B$6,0)</f>
        <v/>
      </c>
    </row>
    <row r="21">
      <c r="A21" s="97" t="n">
        <v>18</v>
      </c>
      <c r="B21" s="98">
        <f>PnL_36M!J21</f>
        <v/>
      </c>
      <c r="C21" s="98">
        <f>IF(A21=1,Inputs!$B$18,0)</f>
        <v/>
      </c>
      <c r="D21" s="98">
        <f>H20</f>
        <v/>
      </c>
      <c r="E21" s="98">
        <f>D21*Inputs!$B$9/12</f>
        <v/>
      </c>
      <c r="F21" s="98">
        <f>IF(A21&lt;=Inputs!$B$11,E21,MIN(D21+E21,-PMT(Inputs!$B$9/12,Inputs!$B$10-Inputs!$B$11,Inputs!$B$6)))</f>
        <v/>
      </c>
      <c r="G21" s="98">
        <f>MAX(0,F21-E21)</f>
        <v/>
      </c>
      <c r="H21" s="98">
        <f>MAX(0,D21-G21)</f>
        <v/>
      </c>
      <c r="I21" s="98">
        <f>B21-C21-F21+L21</f>
        <v/>
      </c>
      <c r="J21" s="98">
        <f>J20+I21</f>
        <v/>
      </c>
      <c r="L21">
        <f>IF(A21=1,Inputs!$B$6,0)</f>
        <v/>
      </c>
    </row>
    <row r="22">
      <c r="A22" s="97" t="n">
        <v>19</v>
      </c>
      <c r="B22" s="98">
        <f>PnL_36M!J22</f>
        <v/>
      </c>
      <c r="C22" s="98">
        <f>IF(A22=1,Inputs!$B$18,0)</f>
        <v/>
      </c>
      <c r="D22" s="98">
        <f>H21</f>
        <v/>
      </c>
      <c r="E22" s="98">
        <f>D22*Inputs!$B$9/12</f>
        <v/>
      </c>
      <c r="F22" s="98">
        <f>IF(A22&lt;=Inputs!$B$11,E22,MIN(D22+E22,-PMT(Inputs!$B$9/12,Inputs!$B$10-Inputs!$B$11,Inputs!$B$6)))</f>
        <v/>
      </c>
      <c r="G22" s="98">
        <f>MAX(0,F22-E22)</f>
        <v/>
      </c>
      <c r="H22" s="98">
        <f>MAX(0,D22-G22)</f>
        <v/>
      </c>
      <c r="I22" s="98">
        <f>B22-C22-F22+L22</f>
        <v/>
      </c>
      <c r="J22" s="98">
        <f>J21+I22</f>
        <v/>
      </c>
      <c r="L22">
        <f>IF(A22=1,Inputs!$B$6,0)</f>
        <v/>
      </c>
    </row>
    <row r="23">
      <c r="A23" s="97" t="n">
        <v>20</v>
      </c>
      <c r="B23" s="98">
        <f>PnL_36M!J23</f>
        <v/>
      </c>
      <c r="C23" s="98">
        <f>IF(A23=1,Inputs!$B$18,0)</f>
        <v/>
      </c>
      <c r="D23" s="98">
        <f>H22</f>
        <v/>
      </c>
      <c r="E23" s="98">
        <f>D23*Inputs!$B$9/12</f>
        <v/>
      </c>
      <c r="F23" s="98">
        <f>IF(A23&lt;=Inputs!$B$11,E23,MIN(D23+E23,-PMT(Inputs!$B$9/12,Inputs!$B$10-Inputs!$B$11,Inputs!$B$6)))</f>
        <v/>
      </c>
      <c r="G23" s="98">
        <f>MAX(0,F23-E23)</f>
        <v/>
      </c>
      <c r="H23" s="98">
        <f>MAX(0,D23-G23)</f>
        <v/>
      </c>
      <c r="I23" s="98">
        <f>B23-C23-F23+L23</f>
        <v/>
      </c>
      <c r="J23" s="98">
        <f>J22+I23</f>
        <v/>
      </c>
      <c r="L23">
        <f>IF(A23=1,Inputs!$B$6,0)</f>
        <v/>
      </c>
    </row>
    <row r="24">
      <c r="A24" s="97" t="n">
        <v>21</v>
      </c>
      <c r="B24" s="98">
        <f>PnL_36M!J24</f>
        <v/>
      </c>
      <c r="C24" s="98">
        <f>IF(A24=1,Inputs!$B$18,0)</f>
        <v/>
      </c>
      <c r="D24" s="98">
        <f>H23</f>
        <v/>
      </c>
      <c r="E24" s="98">
        <f>D24*Inputs!$B$9/12</f>
        <v/>
      </c>
      <c r="F24" s="98">
        <f>IF(A24&lt;=Inputs!$B$11,E24,MIN(D24+E24,-PMT(Inputs!$B$9/12,Inputs!$B$10-Inputs!$B$11,Inputs!$B$6)))</f>
        <v/>
      </c>
      <c r="G24" s="98">
        <f>MAX(0,F24-E24)</f>
        <v/>
      </c>
      <c r="H24" s="98">
        <f>MAX(0,D24-G24)</f>
        <v/>
      </c>
      <c r="I24" s="98">
        <f>B24-C24-F24+L24</f>
        <v/>
      </c>
      <c r="J24" s="98">
        <f>J23+I24</f>
        <v/>
      </c>
      <c r="L24">
        <f>IF(A24=1,Inputs!$B$6,0)</f>
        <v/>
      </c>
    </row>
    <row r="25">
      <c r="A25" s="97" t="n">
        <v>22</v>
      </c>
      <c r="B25" s="98">
        <f>PnL_36M!J25</f>
        <v/>
      </c>
      <c r="C25" s="98">
        <f>IF(A25=1,Inputs!$B$18,0)</f>
        <v/>
      </c>
      <c r="D25" s="98">
        <f>H24</f>
        <v/>
      </c>
      <c r="E25" s="98">
        <f>D25*Inputs!$B$9/12</f>
        <v/>
      </c>
      <c r="F25" s="98">
        <f>IF(A25&lt;=Inputs!$B$11,E25,MIN(D25+E25,-PMT(Inputs!$B$9/12,Inputs!$B$10-Inputs!$B$11,Inputs!$B$6)))</f>
        <v/>
      </c>
      <c r="G25" s="98">
        <f>MAX(0,F25-E25)</f>
        <v/>
      </c>
      <c r="H25" s="98">
        <f>MAX(0,D25-G25)</f>
        <v/>
      </c>
      <c r="I25" s="98">
        <f>B25-C25-F25+L25</f>
        <v/>
      </c>
      <c r="J25" s="98">
        <f>J24+I25</f>
        <v/>
      </c>
      <c r="L25">
        <f>IF(A25=1,Inputs!$B$6,0)</f>
        <v/>
      </c>
    </row>
    <row r="26">
      <c r="A26" s="97" t="n">
        <v>23</v>
      </c>
      <c r="B26" s="98">
        <f>PnL_36M!J26</f>
        <v/>
      </c>
      <c r="C26" s="98">
        <f>IF(A26=1,Inputs!$B$18,0)</f>
        <v/>
      </c>
      <c r="D26" s="98">
        <f>H25</f>
        <v/>
      </c>
      <c r="E26" s="98">
        <f>D26*Inputs!$B$9/12</f>
        <v/>
      </c>
      <c r="F26" s="98">
        <f>IF(A26&lt;=Inputs!$B$11,E26,MIN(D26+E26,-PMT(Inputs!$B$9/12,Inputs!$B$10-Inputs!$B$11,Inputs!$B$6)))</f>
        <v/>
      </c>
      <c r="G26" s="98">
        <f>MAX(0,F26-E26)</f>
        <v/>
      </c>
      <c r="H26" s="98">
        <f>MAX(0,D26-G26)</f>
        <v/>
      </c>
      <c r="I26" s="98">
        <f>B26-C26-F26+L26</f>
        <v/>
      </c>
      <c r="J26" s="98">
        <f>J25+I26</f>
        <v/>
      </c>
      <c r="L26">
        <f>IF(A26=1,Inputs!$B$6,0)</f>
        <v/>
      </c>
    </row>
    <row r="27">
      <c r="A27" s="97" t="n">
        <v>24</v>
      </c>
      <c r="B27" s="98">
        <f>PnL_36M!J27</f>
        <v/>
      </c>
      <c r="C27" s="98">
        <f>IF(A27=1,Inputs!$B$18,0)</f>
        <v/>
      </c>
      <c r="D27" s="98">
        <f>H26</f>
        <v/>
      </c>
      <c r="E27" s="98">
        <f>D27*Inputs!$B$9/12</f>
        <v/>
      </c>
      <c r="F27" s="98">
        <f>IF(A27&lt;=Inputs!$B$11,E27,MIN(D27+E27,-PMT(Inputs!$B$9/12,Inputs!$B$10-Inputs!$B$11,Inputs!$B$6)))</f>
        <v/>
      </c>
      <c r="G27" s="98">
        <f>MAX(0,F27-E27)</f>
        <v/>
      </c>
      <c r="H27" s="98">
        <f>MAX(0,D27-G27)</f>
        <v/>
      </c>
      <c r="I27" s="98">
        <f>B27-C27-F27+L27</f>
        <v/>
      </c>
      <c r="J27" s="98">
        <f>J26+I27</f>
        <v/>
      </c>
      <c r="L27">
        <f>IF(A27=1,Inputs!$B$6,0)</f>
        <v/>
      </c>
    </row>
    <row r="28">
      <c r="A28" s="97" t="n">
        <v>25</v>
      </c>
      <c r="B28" s="98">
        <f>PnL_36M!J28</f>
        <v/>
      </c>
      <c r="C28" s="98">
        <f>IF(A28=1,Inputs!$B$18,0)</f>
        <v/>
      </c>
      <c r="D28" s="98">
        <f>H27</f>
        <v/>
      </c>
      <c r="E28" s="98">
        <f>D28*Inputs!$B$9/12</f>
        <v/>
      </c>
      <c r="F28" s="98">
        <f>IF(A28&lt;=Inputs!$B$11,E28,MIN(D28+E28,-PMT(Inputs!$B$9/12,Inputs!$B$10-Inputs!$B$11,Inputs!$B$6)))</f>
        <v/>
      </c>
      <c r="G28" s="98">
        <f>MAX(0,F28-E28)</f>
        <v/>
      </c>
      <c r="H28" s="98">
        <f>MAX(0,D28-G28)</f>
        <v/>
      </c>
      <c r="I28" s="98">
        <f>B28-C28-F28+L28</f>
        <v/>
      </c>
      <c r="J28" s="98">
        <f>J27+I28</f>
        <v/>
      </c>
      <c r="L28">
        <f>IF(A28=1,Inputs!$B$6,0)</f>
        <v/>
      </c>
    </row>
    <row r="29">
      <c r="A29" s="97" t="n">
        <v>26</v>
      </c>
      <c r="B29" s="98">
        <f>PnL_36M!J29</f>
        <v/>
      </c>
      <c r="C29" s="98">
        <f>IF(A29=1,Inputs!$B$18,0)</f>
        <v/>
      </c>
      <c r="D29" s="98">
        <f>H28</f>
        <v/>
      </c>
      <c r="E29" s="98">
        <f>D29*Inputs!$B$9/12</f>
        <v/>
      </c>
      <c r="F29" s="98">
        <f>IF(A29&lt;=Inputs!$B$11,E29,MIN(D29+E29,-PMT(Inputs!$B$9/12,Inputs!$B$10-Inputs!$B$11,Inputs!$B$6)))</f>
        <v/>
      </c>
      <c r="G29" s="98">
        <f>MAX(0,F29-E29)</f>
        <v/>
      </c>
      <c r="H29" s="98">
        <f>MAX(0,D29-G29)</f>
        <v/>
      </c>
      <c r="I29" s="98">
        <f>B29-C29-F29+L29</f>
        <v/>
      </c>
      <c r="J29" s="98">
        <f>J28+I29</f>
        <v/>
      </c>
      <c r="L29">
        <f>IF(A29=1,Inputs!$B$6,0)</f>
        <v/>
      </c>
    </row>
    <row r="30">
      <c r="A30" s="97" t="n">
        <v>27</v>
      </c>
      <c r="B30" s="98">
        <f>PnL_36M!J30</f>
        <v/>
      </c>
      <c r="C30" s="98">
        <f>IF(A30=1,Inputs!$B$18,0)</f>
        <v/>
      </c>
      <c r="D30" s="98">
        <f>H29</f>
        <v/>
      </c>
      <c r="E30" s="98">
        <f>D30*Inputs!$B$9/12</f>
        <v/>
      </c>
      <c r="F30" s="98">
        <f>IF(A30&lt;=Inputs!$B$11,E30,MIN(D30+E30,-PMT(Inputs!$B$9/12,Inputs!$B$10-Inputs!$B$11,Inputs!$B$6)))</f>
        <v/>
      </c>
      <c r="G30" s="98">
        <f>MAX(0,F30-E30)</f>
        <v/>
      </c>
      <c r="H30" s="98">
        <f>MAX(0,D30-G30)</f>
        <v/>
      </c>
      <c r="I30" s="98">
        <f>B30-C30-F30+L30</f>
        <v/>
      </c>
      <c r="J30" s="98">
        <f>J29+I30</f>
        <v/>
      </c>
      <c r="L30">
        <f>IF(A30=1,Inputs!$B$6,0)</f>
        <v/>
      </c>
    </row>
    <row r="31">
      <c r="A31" s="97" t="n">
        <v>28</v>
      </c>
      <c r="B31" s="98">
        <f>PnL_36M!J31</f>
        <v/>
      </c>
      <c r="C31" s="98">
        <f>IF(A31=1,Inputs!$B$18,0)</f>
        <v/>
      </c>
      <c r="D31" s="98">
        <f>H30</f>
        <v/>
      </c>
      <c r="E31" s="98">
        <f>D31*Inputs!$B$9/12</f>
        <v/>
      </c>
      <c r="F31" s="98">
        <f>IF(A31&lt;=Inputs!$B$11,E31,MIN(D31+E31,-PMT(Inputs!$B$9/12,Inputs!$B$10-Inputs!$B$11,Inputs!$B$6)))</f>
        <v/>
      </c>
      <c r="G31" s="98">
        <f>MAX(0,F31-E31)</f>
        <v/>
      </c>
      <c r="H31" s="98">
        <f>MAX(0,D31-G31)</f>
        <v/>
      </c>
      <c r="I31" s="98">
        <f>B31-C31-F31+L31</f>
        <v/>
      </c>
      <c r="J31" s="98">
        <f>J30+I31</f>
        <v/>
      </c>
      <c r="L31">
        <f>IF(A31=1,Inputs!$B$6,0)</f>
        <v/>
      </c>
    </row>
    <row r="32">
      <c r="A32" s="97" t="n">
        <v>29</v>
      </c>
      <c r="B32" s="98">
        <f>PnL_36M!J32</f>
        <v/>
      </c>
      <c r="C32" s="98">
        <f>IF(A32=1,Inputs!$B$18,0)</f>
        <v/>
      </c>
      <c r="D32" s="98">
        <f>H31</f>
        <v/>
      </c>
      <c r="E32" s="98">
        <f>D32*Inputs!$B$9/12</f>
        <v/>
      </c>
      <c r="F32" s="98">
        <f>IF(A32&lt;=Inputs!$B$11,E32,MIN(D32+E32,-PMT(Inputs!$B$9/12,Inputs!$B$10-Inputs!$B$11,Inputs!$B$6)))</f>
        <v/>
      </c>
      <c r="G32" s="98">
        <f>MAX(0,F32-E32)</f>
        <v/>
      </c>
      <c r="H32" s="98">
        <f>MAX(0,D32-G32)</f>
        <v/>
      </c>
      <c r="I32" s="98">
        <f>B32-C32-F32+L32</f>
        <v/>
      </c>
      <c r="J32" s="98">
        <f>J31+I32</f>
        <v/>
      </c>
      <c r="L32">
        <f>IF(A32=1,Inputs!$B$6,0)</f>
        <v/>
      </c>
    </row>
    <row r="33">
      <c r="A33" s="97" t="n">
        <v>30</v>
      </c>
      <c r="B33" s="98">
        <f>PnL_36M!J33</f>
        <v/>
      </c>
      <c r="C33" s="98">
        <f>IF(A33=1,Inputs!$B$18,0)</f>
        <v/>
      </c>
      <c r="D33" s="98">
        <f>H32</f>
        <v/>
      </c>
      <c r="E33" s="98">
        <f>D33*Inputs!$B$9/12</f>
        <v/>
      </c>
      <c r="F33" s="98">
        <f>IF(A33&lt;=Inputs!$B$11,E33,MIN(D33+E33,-PMT(Inputs!$B$9/12,Inputs!$B$10-Inputs!$B$11,Inputs!$B$6)))</f>
        <v/>
      </c>
      <c r="G33" s="98">
        <f>MAX(0,F33-E33)</f>
        <v/>
      </c>
      <c r="H33" s="98">
        <f>MAX(0,D33-G33)</f>
        <v/>
      </c>
      <c r="I33" s="98">
        <f>B33-C33-F33+L33</f>
        <v/>
      </c>
      <c r="J33" s="98">
        <f>J32+I33</f>
        <v/>
      </c>
      <c r="L33">
        <f>IF(A33=1,Inputs!$B$6,0)</f>
        <v/>
      </c>
    </row>
    <row r="34">
      <c r="A34" s="97" t="n">
        <v>31</v>
      </c>
      <c r="B34" s="98">
        <f>PnL_36M!J34</f>
        <v/>
      </c>
      <c r="C34" s="98">
        <f>IF(A34=1,Inputs!$B$18,0)</f>
        <v/>
      </c>
      <c r="D34" s="98">
        <f>H33</f>
        <v/>
      </c>
      <c r="E34" s="98">
        <f>D34*Inputs!$B$9/12</f>
        <v/>
      </c>
      <c r="F34" s="98">
        <f>IF(A34&lt;=Inputs!$B$11,E34,MIN(D34+E34,-PMT(Inputs!$B$9/12,Inputs!$B$10-Inputs!$B$11,Inputs!$B$6)))</f>
        <v/>
      </c>
      <c r="G34" s="98">
        <f>MAX(0,F34-E34)</f>
        <v/>
      </c>
      <c r="H34" s="98">
        <f>MAX(0,D34-G34)</f>
        <v/>
      </c>
      <c r="I34" s="98">
        <f>B34-C34-F34+L34</f>
        <v/>
      </c>
      <c r="J34" s="98">
        <f>J33+I34</f>
        <v/>
      </c>
      <c r="L34">
        <f>IF(A34=1,Inputs!$B$6,0)</f>
        <v/>
      </c>
    </row>
    <row r="35">
      <c r="A35" s="97" t="n">
        <v>32</v>
      </c>
      <c r="B35" s="98">
        <f>PnL_36M!J35</f>
        <v/>
      </c>
      <c r="C35" s="98">
        <f>IF(A35=1,Inputs!$B$18,0)</f>
        <v/>
      </c>
      <c r="D35" s="98">
        <f>H34</f>
        <v/>
      </c>
      <c r="E35" s="98">
        <f>D35*Inputs!$B$9/12</f>
        <v/>
      </c>
      <c r="F35" s="98">
        <f>IF(A35&lt;=Inputs!$B$11,E35,MIN(D35+E35,-PMT(Inputs!$B$9/12,Inputs!$B$10-Inputs!$B$11,Inputs!$B$6)))</f>
        <v/>
      </c>
      <c r="G35" s="98">
        <f>MAX(0,F35-E35)</f>
        <v/>
      </c>
      <c r="H35" s="98">
        <f>MAX(0,D35-G35)</f>
        <v/>
      </c>
      <c r="I35" s="98">
        <f>B35-C35-F35+L35</f>
        <v/>
      </c>
      <c r="J35" s="98">
        <f>J34+I35</f>
        <v/>
      </c>
      <c r="L35">
        <f>IF(A35=1,Inputs!$B$6,0)</f>
        <v/>
      </c>
    </row>
    <row r="36">
      <c r="A36" s="97" t="n">
        <v>33</v>
      </c>
      <c r="B36" s="98">
        <f>PnL_36M!J36</f>
        <v/>
      </c>
      <c r="C36" s="98">
        <f>IF(A36=1,Inputs!$B$18,0)</f>
        <v/>
      </c>
      <c r="D36" s="98">
        <f>H35</f>
        <v/>
      </c>
      <c r="E36" s="98">
        <f>D36*Inputs!$B$9/12</f>
        <v/>
      </c>
      <c r="F36" s="98">
        <f>IF(A36&lt;=Inputs!$B$11,E36,MIN(D36+E36,-PMT(Inputs!$B$9/12,Inputs!$B$10-Inputs!$B$11,Inputs!$B$6)))</f>
        <v/>
      </c>
      <c r="G36" s="98">
        <f>MAX(0,F36-E36)</f>
        <v/>
      </c>
      <c r="H36" s="98">
        <f>MAX(0,D36-G36)</f>
        <v/>
      </c>
      <c r="I36" s="98">
        <f>B36-C36-F36+L36</f>
        <v/>
      </c>
      <c r="J36" s="98">
        <f>J35+I36</f>
        <v/>
      </c>
      <c r="L36">
        <f>IF(A36=1,Inputs!$B$6,0)</f>
        <v/>
      </c>
    </row>
    <row r="37">
      <c r="A37" s="97" t="n">
        <v>34</v>
      </c>
      <c r="B37" s="98">
        <f>PnL_36M!J37</f>
        <v/>
      </c>
      <c r="C37" s="98">
        <f>IF(A37=1,Inputs!$B$18,0)</f>
        <v/>
      </c>
      <c r="D37" s="98">
        <f>H36</f>
        <v/>
      </c>
      <c r="E37" s="98">
        <f>D37*Inputs!$B$9/12</f>
        <v/>
      </c>
      <c r="F37" s="98">
        <f>IF(A37&lt;=Inputs!$B$11,E37,MIN(D37+E37,-PMT(Inputs!$B$9/12,Inputs!$B$10-Inputs!$B$11,Inputs!$B$6)))</f>
        <v/>
      </c>
      <c r="G37" s="98">
        <f>MAX(0,F37-E37)</f>
        <v/>
      </c>
      <c r="H37" s="98">
        <f>MAX(0,D37-G37)</f>
        <v/>
      </c>
      <c r="I37" s="98">
        <f>B37-C37-F37+L37</f>
        <v/>
      </c>
      <c r="J37" s="98">
        <f>J36+I37</f>
        <v/>
      </c>
      <c r="L37">
        <f>IF(A37=1,Inputs!$B$6,0)</f>
        <v/>
      </c>
    </row>
    <row r="38">
      <c r="A38" s="97" t="n">
        <v>35</v>
      </c>
      <c r="B38" s="98">
        <f>PnL_36M!J38</f>
        <v/>
      </c>
      <c r="C38" s="98">
        <f>IF(A38=1,Inputs!$B$18,0)</f>
        <v/>
      </c>
      <c r="D38" s="98">
        <f>H37</f>
        <v/>
      </c>
      <c r="E38" s="98">
        <f>D38*Inputs!$B$9/12</f>
        <v/>
      </c>
      <c r="F38" s="98">
        <f>IF(A38&lt;=Inputs!$B$11,E38,MIN(D38+E38,-PMT(Inputs!$B$9/12,Inputs!$B$10-Inputs!$B$11,Inputs!$B$6)))</f>
        <v/>
      </c>
      <c r="G38" s="98">
        <f>MAX(0,F38-E38)</f>
        <v/>
      </c>
      <c r="H38" s="98">
        <f>MAX(0,D38-G38)</f>
        <v/>
      </c>
      <c r="I38" s="98">
        <f>B38-C38-F38+L38</f>
        <v/>
      </c>
      <c r="J38" s="98">
        <f>J37+I38</f>
        <v/>
      </c>
      <c r="L38">
        <f>IF(A38=1,Inputs!$B$6,0)</f>
        <v/>
      </c>
    </row>
    <row r="39">
      <c r="A39" s="97" t="n">
        <v>36</v>
      </c>
      <c r="B39" s="98">
        <f>PnL_36M!J39</f>
        <v/>
      </c>
      <c r="C39" s="98">
        <f>IF(A39=1,Inputs!$B$18,0)</f>
        <v/>
      </c>
      <c r="D39" s="98">
        <f>H38</f>
        <v/>
      </c>
      <c r="E39" s="98">
        <f>D39*Inputs!$B$9/12</f>
        <v/>
      </c>
      <c r="F39" s="98">
        <f>IF(A39&lt;=Inputs!$B$11,E39,MIN(D39+E39,-PMT(Inputs!$B$9/12,Inputs!$B$10-Inputs!$B$11,Inputs!$B$6)))</f>
        <v/>
      </c>
      <c r="G39" s="98">
        <f>MAX(0,F39-E39)</f>
        <v/>
      </c>
      <c r="H39" s="98">
        <f>MAX(0,D39-G39)</f>
        <v/>
      </c>
      <c r="I39" s="98">
        <f>B39-C39-F39+L39</f>
        <v/>
      </c>
      <c r="J39" s="98">
        <f>J38+I39</f>
        <v/>
      </c>
      <c r="L39">
        <f>IF(A39=1,Inputs!$B$6,0)</f>
        <v/>
      </c>
    </row>
  </sheetData>
  <mergeCells count="1">
    <mergeCell ref="A1:K1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12" customWidth="1" min="5" max="5"/>
    <col width="55" customWidth="1" min="6" max="6"/>
  </cols>
  <sheetData>
    <row r="1" ht="28" customHeight="1">
      <c r="A1" s="9" t="inlineStr">
        <is>
          <t>Valoración económica - Rango orientativo editable</t>
        </is>
      </c>
      <c r="B1" s="1" t="n"/>
      <c r="C1" s="1" t="n"/>
      <c r="D1" s="1" t="n"/>
      <c r="E1" s="1" t="n"/>
      <c r="F1" s="1" t="n"/>
    </row>
    <row r="3" ht="22" customHeight="1">
      <c r="A3" s="23" t="inlineStr">
        <is>
          <t>Método</t>
        </is>
      </c>
      <c r="B3" s="23" t="inlineStr">
        <is>
          <t>Conservador</t>
        </is>
      </c>
      <c r="C3" s="23" t="inlineStr">
        <is>
          <t>Base</t>
        </is>
      </c>
      <c r="D3" s="23" t="inlineStr">
        <is>
          <t>Optimista</t>
        </is>
      </c>
      <c r="E3" s="23" t="inlineStr">
        <is>
          <t>Unidad</t>
        </is>
      </c>
      <c r="F3" s="23" t="inlineStr">
        <is>
          <t>Comentario</t>
        </is>
      </c>
    </row>
    <row r="4">
      <c r="A4" t="inlineStr">
        <is>
          <t>Coste de reposición</t>
        </is>
      </c>
      <c r="B4" s="98">
        <f>Inputs!$B$19+Inputs!$B$20+Inputs!$B$21</f>
        <v/>
      </c>
      <c r="C4" s="98">
        <f>Inputs!$B$19+Inputs!$B$20+Inputs!$B$21</f>
        <v/>
      </c>
      <c r="D4" s="98">
        <f>Inputs!$B$19+Inputs!$B$20+Inputs!$B$21</f>
        <v/>
      </c>
      <c r="E4" t="inlineStr">
        <is>
          <t>€</t>
        </is>
      </c>
      <c r="F4" s="38" t="inlineStr">
        <is>
          <t>Inversión aportada + activos + intangible prudente.</t>
        </is>
      </c>
    </row>
    <row r="5">
      <c r="A5" t="inlineStr">
        <is>
          <t>Ingresos año 3 anualizados</t>
        </is>
      </c>
      <c r="B5" s="98">
        <f>Socios_36M!B$39*(Inputs!B$27+Inputs!B$28)/(1+Inputs!$B$12)*12</f>
        <v/>
      </c>
      <c r="C5" s="98">
        <f>Socios_36M!C$39*(Inputs!C$27+Inputs!C$28)/(1+Inputs!$B$12)*12</f>
        <v/>
      </c>
      <c r="D5" s="98">
        <f>Socios_36M!D$39*(Inputs!D$27+Inputs!D$28)/(1+Inputs!$B$12)*12</f>
        <v/>
      </c>
      <c r="E5" t="inlineStr">
        <is>
          <t>€</t>
        </is>
      </c>
      <c r="F5" s="38" t="inlineStr">
        <is>
          <t>Mes 36 x 12; base en ingresos netos.</t>
        </is>
      </c>
    </row>
    <row r="6">
      <c r="A6" t="inlineStr">
        <is>
          <t>Valor por múltiplo de ingresos</t>
        </is>
      </c>
      <c r="B6" s="98">
        <f>B5*Inputs!B$34</f>
        <v/>
      </c>
      <c r="C6" s="98">
        <f>C5*Inputs!C$34</f>
        <v/>
      </c>
      <c r="D6" s="98">
        <f>D5*Inputs!D$34</f>
        <v/>
      </c>
      <c r="E6" t="inlineStr">
        <is>
          <t>€</t>
        </is>
      </c>
      <c r="F6" s="38" t="inlineStr">
        <is>
          <t>Ingresos año 3 x múltiplo de ingresos.</t>
        </is>
      </c>
    </row>
    <row r="7">
      <c r="A7" t="inlineStr">
        <is>
          <t>EBITDA mes 36 anualizado</t>
        </is>
      </c>
      <c r="B7" s="98">
        <f>(Socios_36M!B$39*(Inputs!B$27+Inputs!B$28)/(1+Inputs!$B$12)-Socios_36M!B$39*Inputs!B$29-Inputs!$B$16-Inputs!$B$17-Inputs!B$30)*12</f>
        <v/>
      </c>
      <c r="C7" s="98">
        <f>(Socios_36M!C$39*(Inputs!C$27+Inputs!C$28)/(1+Inputs!$B$12)-Socios_36M!C$39*Inputs!C$29-Inputs!$B$16-Inputs!$B$17-Inputs!C$30)*12</f>
        <v/>
      </c>
      <c r="D7" s="98">
        <f>(Socios_36M!D$39*(Inputs!D$27+Inputs!D$28)/(1+Inputs!$B$12)-Socios_36M!D$39*Inputs!D$29-Inputs!$B$16-Inputs!$B$17-Inputs!D$30)*12</f>
        <v/>
      </c>
      <c r="E7" t="inlineStr">
        <is>
          <t>€</t>
        </is>
      </c>
      <c r="F7" s="38" t="inlineStr">
        <is>
          <t>EBITDA mes 36 x 12.</t>
        </is>
      </c>
    </row>
    <row r="8">
      <c r="A8" t="inlineStr">
        <is>
          <t>Valor por múltiplo EBITDA</t>
        </is>
      </c>
      <c r="B8" s="98">
        <f>MAX(0,B7)*Inputs!B$32</f>
        <v/>
      </c>
      <c r="C8" s="98">
        <f>MAX(0,C7)*Inputs!C$32</f>
        <v/>
      </c>
      <c r="D8" s="98">
        <f>MAX(0,D7)*Inputs!D$32</f>
        <v/>
      </c>
      <c r="E8" t="inlineStr">
        <is>
          <t>€</t>
        </is>
      </c>
      <c r="F8" s="38" t="inlineStr">
        <is>
          <t>EBITDA anualizado x múltiplo; si EBITDA negativo, queda en 0.</t>
        </is>
      </c>
    </row>
    <row r="9">
      <c r="A9" t="inlineStr">
        <is>
          <t>Valoración sugerida pre-money</t>
        </is>
      </c>
      <c r="B9" s="98">
        <f>AVERAGE(B4,B6,B8)</f>
        <v/>
      </c>
      <c r="C9" s="98">
        <f>AVERAGE(C4,C6,C8)</f>
        <v/>
      </c>
      <c r="D9" s="98">
        <f>AVERAGE(D4,D6,D8)</f>
        <v/>
      </c>
      <c r="E9" t="inlineStr">
        <is>
          <t>€</t>
        </is>
      </c>
      <c r="F9" s="38" t="inlineStr">
        <is>
          <t>Promedio simple de coste, ingresos y EBITDA.</t>
        </is>
      </c>
    </row>
    <row r="10">
      <c r="A10" t="inlineStr">
        <is>
          <t>Importe inversión simulada</t>
        </is>
      </c>
      <c r="B10" s="98">
        <f>Inputs!$B$6</f>
        <v/>
      </c>
      <c r="C10" s="98">
        <f>Inputs!$B$6</f>
        <v/>
      </c>
      <c r="D10" s="98">
        <f>Inputs!$B$6</f>
        <v/>
      </c>
      <c r="E10" t="inlineStr">
        <is>
          <t>€</t>
        </is>
      </c>
      <c r="F10" s="38" t="inlineStr">
        <is>
          <t>Link a Inputs.</t>
        </is>
      </c>
    </row>
    <row r="11">
      <c r="A11" t="inlineStr">
        <is>
          <t>Valor post-money</t>
        </is>
      </c>
      <c r="B11" s="98">
        <f>B9+B10</f>
        <v/>
      </c>
      <c r="C11" s="98">
        <f>C9+C10</f>
        <v/>
      </c>
      <c r="D11" s="98">
        <f>D9+D10</f>
        <v/>
      </c>
      <c r="E11" t="inlineStr">
        <is>
          <t>€</t>
        </is>
      </c>
      <c r="F11" s="38" t="inlineStr">
        <is>
          <t>Pre-money + inversión.</t>
        </is>
      </c>
    </row>
    <row r="12">
      <c r="A12" t="inlineStr">
        <is>
          <t>% inversor resultante</t>
        </is>
      </c>
      <c r="B12" s="109">
        <f>IFERROR(B10/B11,0)</f>
        <v/>
      </c>
      <c r="C12" s="109">
        <f>IFERROR(C10/C11,0)</f>
        <v/>
      </c>
      <c r="D12" s="109">
        <f>IFERROR(D10/D11,0)</f>
        <v/>
      </c>
      <c r="E12" t="inlineStr">
        <is>
          <t>%</t>
        </is>
      </c>
      <c r="F12" s="38" t="inlineStr">
        <is>
          <t>Inversión / post-money.</t>
        </is>
      </c>
    </row>
  </sheetData>
  <mergeCells count="1">
    <mergeCell ref="A1:F1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4" customWidth="1" min="8" max="8"/>
  </cols>
  <sheetData>
    <row r="1" ht="28" customHeight="1">
      <c r="A1" s="9" t="inlineStr">
        <is>
          <t>Cap table - Simulación de entrada inversor</t>
        </is>
      </c>
      <c r="B1" s="1" t="n"/>
      <c r="C1" s="1" t="n"/>
      <c r="D1" s="1" t="n"/>
      <c r="E1" s="1" t="n"/>
      <c r="F1" s="1" t="n"/>
      <c r="G1" s="1" t="n"/>
      <c r="H1" s="1" t="n"/>
    </row>
    <row r="3" ht="22" customHeight="1">
      <c r="A3" s="23" t="inlineStr">
        <is>
          <t>Socio / inversor</t>
        </is>
      </c>
      <c r="B3" s="23" t="inlineStr">
        <is>
          <t>% antes</t>
        </is>
      </c>
      <c r="C3" s="23" t="inlineStr">
        <is>
          <t>Valor antes</t>
        </is>
      </c>
      <c r="D3" s="23" t="inlineStr">
        <is>
          <t>Inversión nueva</t>
        </is>
      </c>
      <c r="E3" s="23" t="inlineStr">
        <is>
          <t>% nuevo inversor</t>
        </is>
      </c>
      <c r="F3" s="23" t="inlineStr">
        <is>
          <t>% después</t>
        </is>
      </c>
      <c r="G3" s="23" t="inlineStr">
        <is>
          <t>Valor post-money</t>
        </is>
      </c>
      <c r="H3" s="23" t="inlineStr">
        <is>
          <t>Nota</t>
        </is>
      </c>
    </row>
    <row r="4">
      <c r="A4" t="inlineStr">
        <is>
          <t>Sergi / fundador</t>
        </is>
      </c>
      <c r="B4" s="102" t="n">
        <v>0.2</v>
      </c>
      <c r="C4" s="98">
        <f>B4*Inputs!$B$7</f>
        <v/>
      </c>
      <c r="D4" s="98">
        <f>IF(A4="Nuevo inversor",Inputs!$B$6,0)</f>
        <v/>
      </c>
      <c r="E4" s="109">
        <f>IF(A4="Nuevo inversor",Inputs!$B$6/(Inputs!$B$7+Inputs!$B$6),0)</f>
        <v/>
      </c>
      <c r="F4" s="109">
        <f>IF(A4="Nuevo inversor",E4,B4*(1-SUM($E$4:$E$9)))</f>
        <v/>
      </c>
      <c r="G4" s="98">
        <f>F4*(Inputs!$B$7+Inputs!$B$6)</f>
        <v/>
      </c>
      <c r="H4" s="38" t="inlineStr">
        <is>
          <t>Ejemplo editable: sustituir por reparto real.</t>
        </is>
      </c>
    </row>
    <row r="5">
      <c r="A5" t="inlineStr">
        <is>
          <t>Marta</t>
        </is>
      </c>
      <c r="B5" s="102" t="n">
        <v>0.2</v>
      </c>
      <c r="C5" s="98">
        <f>B5*Inputs!$B$7</f>
        <v/>
      </c>
      <c r="D5" s="98">
        <f>IF(A5="Nuevo inversor",Inputs!$B$6,0)</f>
        <v/>
      </c>
      <c r="E5" s="109">
        <f>IF(A5="Nuevo inversor",Inputs!$B$6/(Inputs!$B$7+Inputs!$B$6),0)</f>
        <v/>
      </c>
      <c r="F5" s="109">
        <f>IF(A5="Nuevo inversor",E5,B5*(1-SUM($E$4:$E$9)))</f>
        <v/>
      </c>
      <c r="G5" s="98">
        <f>F5*(Inputs!$B$7+Inputs!$B$6)</f>
        <v/>
      </c>
      <c r="H5" s="38" t="inlineStr">
        <is>
          <t>Ejemplo editable.</t>
        </is>
      </c>
    </row>
    <row r="6">
      <c r="A6" t="inlineStr">
        <is>
          <t>Antonio</t>
        </is>
      </c>
      <c r="B6" s="102" t="n">
        <v>0.2</v>
      </c>
      <c r="C6" s="98">
        <f>B6*Inputs!$B$7</f>
        <v/>
      </c>
      <c r="D6" s="98">
        <f>IF(A6="Nuevo inversor",Inputs!$B$6,0)</f>
        <v/>
      </c>
      <c r="E6" s="109">
        <f>IF(A6="Nuevo inversor",Inputs!$B$6/(Inputs!$B$7+Inputs!$B$6),0)</f>
        <v/>
      </c>
      <c r="F6" s="109">
        <f>IF(A6="Nuevo inversor",E6,B6*(1-SUM($E$4:$E$9)))</f>
        <v/>
      </c>
      <c r="G6" s="98">
        <f>F6*(Inputs!$B$7+Inputs!$B$6)</f>
        <v/>
      </c>
      <c r="H6" s="38" t="inlineStr">
        <is>
          <t>Ejemplo editable.</t>
        </is>
      </c>
    </row>
    <row r="7">
      <c r="A7" t="inlineStr">
        <is>
          <t>Arnau</t>
        </is>
      </c>
      <c r="B7" s="102" t="n">
        <v>0.2</v>
      </c>
      <c r="C7" s="98">
        <f>B7*Inputs!$B$7</f>
        <v/>
      </c>
      <c r="D7" s="98">
        <f>IF(A7="Nuevo inversor",Inputs!$B$6,0)</f>
        <v/>
      </c>
      <c r="E7" s="109">
        <f>IF(A7="Nuevo inversor",Inputs!$B$6/(Inputs!$B$7+Inputs!$B$6),0)</f>
        <v/>
      </c>
      <c r="F7" s="109">
        <f>IF(A7="Nuevo inversor",E7,B7*(1-SUM($E$4:$E$9)))</f>
        <v/>
      </c>
      <c r="G7" s="98">
        <f>F7*(Inputs!$B$7+Inputs!$B$6)</f>
        <v/>
      </c>
      <c r="H7" s="38" t="inlineStr">
        <is>
          <t>Ejemplo editable.</t>
        </is>
      </c>
    </row>
    <row r="8">
      <c r="A8" t="inlineStr">
        <is>
          <t>Óscar</t>
        </is>
      </c>
      <c r="B8" s="102" t="n">
        <v>0.2</v>
      </c>
      <c r="C8" s="98">
        <f>B8*Inputs!$B$7</f>
        <v/>
      </c>
      <c r="D8" s="98">
        <f>IF(A8="Nuevo inversor",Inputs!$B$6,0)</f>
        <v/>
      </c>
      <c r="E8" s="109">
        <f>IF(A8="Nuevo inversor",Inputs!$B$6/(Inputs!$B$7+Inputs!$B$6),0)</f>
        <v/>
      </c>
      <c r="F8" s="109">
        <f>IF(A8="Nuevo inversor",E8,B8*(1-SUM($E$4:$E$9)))</f>
        <v/>
      </c>
      <c r="G8" s="98">
        <f>F8*(Inputs!$B$7+Inputs!$B$6)</f>
        <v/>
      </c>
      <c r="H8" s="38" t="inlineStr">
        <is>
          <t>Ejemplo editable.</t>
        </is>
      </c>
    </row>
    <row r="9">
      <c r="A9" t="inlineStr">
        <is>
          <t>Nuevo inversor</t>
        </is>
      </c>
      <c r="B9" s="109" t="n">
        <v>0</v>
      </c>
      <c r="C9" s="98">
        <f>B9*Inputs!$B$7</f>
        <v/>
      </c>
      <c r="D9" s="98">
        <f>IF(A9="Nuevo inversor",Inputs!$B$6,0)</f>
        <v/>
      </c>
      <c r="E9" s="109">
        <f>IF(A9="Nuevo inversor",Inputs!$B$6/(Inputs!$B$7+Inputs!$B$6),0)</f>
        <v/>
      </c>
      <c r="F9" s="109">
        <f>IF(A9="Nuevo inversor",E9,B9*(1-SUM($E$4:$E$9)))</f>
        <v/>
      </c>
      <c r="G9" s="98">
        <f>F9*(Inputs!$B$7+Inputs!$B$6)</f>
        <v/>
      </c>
      <c r="H9" s="38" t="inlineStr">
        <is>
          <t>El % se calcula con inversión / post-money.</t>
        </is>
      </c>
    </row>
    <row r="10">
      <c r="A10" s="75" t="inlineStr">
        <is>
          <t>TOTAL</t>
        </is>
      </c>
      <c r="B10" s="110">
        <f>SUM(B4:B9)</f>
        <v/>
      </c>
      <c r="C10" s="111">
        <f>SUM(C4:C9)</f>
        <v/>
      </c>
      <c r="D10" s="111">
        <f>SUM(D4:D9)</f>
        <v/>
      </c>
      <c r="E10" s="110">
        <f>SUM(E4:E9)</f>
        <v/>
      </c>
      <c r="F10" s="110">
        <f>SUM(F4:F9)</f>
        <v/>
      </c>
      <c r="G10" s="111">
        <f>SUM(G4:G9)</f>
        <v/>
      </c>
      <c r="H10" s="75" t="str"/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4" customWidth="1" min="4" max="4"/>
    <col width="55" customWidth="1" min="5" max="5"/>
  </cols>
  <sheetData>
    <row r="1" ht="28" customHeight="1">
      <c r="A1" s="9" t="inlineStr">
        <is>
          <t>Uso de fondos - Solicitud financiación</t>
        </is>
      </c>
      <c r="B1" s="1" t="n"/>
      <c r="C1" s="1" t="n"/>
      <c r="D1" s="1" t="n"/>
      <c r="E1" s="1" t="n"/>
    </row>
    <row r="3" ht="22" customHeight="1">
      <c r="A3" s="23" t="inlineStr">
        <is>
          <t>Partida</t>
        </is>
      </c>
      <c r="B3" s="23" t="inlineStr">
        <is>
          <t>Importe</t>
        </is>
      </c>
      <c r="C3" s="23" t="inlineStr">
        <is>
          <t>% sobre total</t>
        </is>
      </c>
      <c r="D3" s="23" t="inlineStr">
        <is>
          <t>Prioridad</t>
        </is>
      </c>
      <c r="E3" s="23" t="inlineStr">
        <is>
          <t>Comentario</t>
        </is>
      </c>
    </row>
    <row r="4">
      <c r="A4" t="inlineStr">
        <is>
          <t>Climatizacion, agua y renovacion de aire</t>
        </is>
      </c>
      <c r="B4" s="101" t="n">
        <v>77740.09</v>
      </c>
      <c r="C4" s="109">
        <f>B4/$B$9</f>
        <v/>
      </c>
      <c r="D4" t="inlineStr">
        <is>
          <t>Alta</t>
        </is>
      </c>
      <c r="E4" t="inlineStr">
        <is>
          <t>Instalacion Carulla (clima+agua+ACS+RITE), pendiente de pago.</t>
        </is>
      </c>
    </row>
    <row r="5">
      <c r="A5" t="inlineStr">
        <is>
          <t>Instalacion electrica y contraincendios</t>
        </is>
      </c>
      <c r="B5" s="101" t="n">
        <v>47863.32</v>
      </c>
      <c r="C5" s="109">
        <f>B5/$B$9</f>
        <v/>
      </c>
      <c r="D5" t="inlineStr">
        <is>
          <t>Alta</t>
        </is>
      </c>
      <c r="E5" t="inlineStr">
        <is>
          <t>Electrica gimnasio (Patrick), deteccion incendios, caja de contadores.</t>
        </is>
      </c>
    </row>
    <row r="6">
      <c r="A6" t="inlineStr">
        <is>
          <t>Maquinaria, aduana y transporte</t>
        </is>
      </c>
      <c r="B6" s="101" t="n">
        <v>48788.66</v>
      </c>
      <c r="C6" s="109">
        <f>B6/$B$9</f>
        <v/>
      </c>
      <c r="D6" t="inlineStr">
        <is>
          <t>Alta</t>
        </is>
      </c>
      <c r="E6" t="inlineStr">
        <is>
          <t>IVA importacion maquinaria HSE + transporte y despacho de aduana.</t>
        </is>
      </c>
    </row>
    <row r="7">
      <c r="A7" t="inlineStr">
        <is>
          <t>Vestuarios, suelo y acabados</t>
        </is>
      </c>
      <c r="B7" s="101" t="n">
        <v>66284.45</v>
      </c>
      <c r="C7" s="109">
        <f>B7/$B$9</f>
        <v/>
      </c>
      <c r="D7" t="inlineStr">
        <is>
          <t>Media</t>
        </is>
      </c>
      <c r="E7" t="inlineStr">
        <is>
          <t>Taquillas, suelo, pintura, espejos, material Obramat (banos/vestuarios).</t>
        </is>
      </c>
    </row>
    <row r="8">
      <c r="A8" s="75" t="inlineStr">
        <is>
          <t>Accesos, rotulos y obra final</t>
        </is>
      </c>
      <c r="B8" s="111" t="n">
        <v>68042.99000000001</v>
      </c>
      <c r="C8" s="110">
        <f>B8/$B$9</f>
        <v/>
      </c>
      <c r="D8" s="75" t="inlineStr">
        <is>
          <t>Media</t>
        </is>
      </c>
      <c r="E8" s="75" t="inlineStr">
        <is>
          <t>Tornos, puerta QR, elevador, rotulo, Luis Miguel (tabiques+techo), techo RF.</t>
        </is>
      </c>
    </row>
    <row r="9">
      <c r="A9" t="inlineStr">
        <is>
          <t>TOTAL PENDIENTE DE PAGO</t>
        </is>
      </c>
      <c r="B9">
        <f>SUM(B4:B8)</f>
        <v/>
      </c>
      <c r="C9">
        <f>SUM(C4:C8)</f>
        <v/>
      </c>
    </row>
    <row r="10">
      <c r="A10" t="inlineStr">
        <is>
          <t>Caja ya disponible en banco</t>
        </is>
      </c>
      <c r="B10" t="n">
        <v>-63246</v>
      </c>
      <c r="D10" t="inlineStr">
        <is>
          <t>-</t>
        </is>
      </c>
      <c r="E10" t="inlineStr">
        <is>
          <t>Saldo actual en cuenta; cubre parte de la necesidad.</t>
        </is>
      </c>
    </row>
    <row r="11">
      <c r="A11" t="inlineStr">
        <is>
          <t>NECESIDAD DE FINANCIACION</t>
        </is>
      </c>
      <c r="B11">
        <f>B9+B10</f>
        <v/>
      </c>
      <c r="D11" t="inlineStr">
        <is>
          <t>-</t>
        </is>
      </c>
      <c r="E11" t="inlineStr">
        <is>
          <t>Importe a cubrir con capital y/o prestamo (ver Inputs!B6).</t>
        </is>
      </c>
    </row>
  </sheetData>
  <mergeCells count="1">
    <mergeCell ref="A1:E1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5" customWidth="1" min="3" max="3"/>
    <col width="15" customWidth="1" min="4" max="4"/>
    <col width="24" customWidth="1" min="5" max="5"/>
    <col width="55" customWidth="1" min="6" max="6"/>
  </cols>
  <sheetData>
    <row r="1" ht="28" customHeight="1">
      <c r="A1" s="89" t="inlineStr">
        <is>
          <t>Checklist para cerrar dossier de financiación e inversión</t>
        </is>
      </c>
      <c r="B1" s="1" t="n"/>
      <c r="C1" s="1" t="n"/>
      <c r="D1" s="1" t="n"/>
      <c r="E1" s="1" t="n"/>
      <c r="F1" s="1" t="n"/>
    </row>
    <row r="3" ht="22" customHeight="1">
      <c r="A3" s="23" t="inlineStr">
        <is>
          <t>Bloque</t>
        </is>
      </c>
      <c r="B3" s="23" t="inlineStr">
        <is>
          <t>Dato/documento</t>
        </is>
      </c>
      <c r="C3" s="23" t="inlineStr">
        <is>
          <t>Estado</t>
        </is>
      </c>
      <c r="D3" s="23" t="inlineStr">
        <is>
          <t>Responsable</t>
        </is>
      </c>
      <c r="E3" s="23" t="inlineStr">
        <is>
          <t>Dónde impacta</t>
        </is>
      </c>
      <c r="F3" s="23" t="inlineStr">
        <is>
          <t>Notas</t>
        </is>
      </c>
    </row>
    <row r="4">
      <c r="A4" t="inlineStr">
        <is>
          <t>Sociedad</t>
        </is>
      </c>
      <c r="B4" t="inlineStr">
        <is>
          <t>Escritura, CIF/NIF, socios y participaciones reales</t>
        </is>
      </c>
      <c r="C4" t="inlineStr">
        <is>
          <t>Pendiente</t>
        </is>
      </c>
      <c r="D4" t="inlineStr">
        <is>
          <t>Sergi</t>
        </is>
      </c>
      <c r="E4" t="inlineStr">
        <is>
          <t>CapTable / Dossier</t>
        </is>
      </c>
      <c r="F4" t="inlineStr">
        <is>
          <t>Actualizar reparto real; ahora hay ejemplo editable.</t>
        </is>
      </c>
    </row>
    <row r="5">
      <c r="A5" t="inlineStr">
        <is>
          <t>Nave</t>
        </is>
      </c>
      <c r="B5" t="inlineStr">
        <is>
          <t>Contrato de alquiler o documento de uso de nave</t>
        </is>
      </c>
      <c r="C5" t="inlineStr">
        <is>
          <t>Pendiente</t>
        </is>
      </c>
      <c r="D5" t="inlineStr">
        <is>
          <t>Sergi</t>
        </is>
      </c>
      <c r="E5" t="inlineStr">
        <is>
          <t>Plan de negocio</t>
        </is>
      </c>
      <c r="F5" t="inlineStr">
        <is>
          <t>CL Ensija 32, Sant Fruitós de Bages.</t>
        </is>
      </c>
    </row>
    <row r="6">
      <c r="A6" t="inlineStr">
        <is>
          <t>Inversión</t>
        </is>
      </c>
      <c r="B6" t="inlineStr">
        <is>
          <t>Facturas/proformas de obra, suelo, maquinaria, LED, vestuarios</t>
        </is>
      </c>
      <c r="C6" t="inlineStr">
        <is>
          <t>Pendiente</t>
        </is>
      </c>
      <c r="D6" t="inlineStr">
        <is>
          <t>Sergi</t>
        </is>
      </c>
      <c r="E6" t="inlineStr">
        <is>
          <t>Inputs / UsoFondos</t>
        </is>
      </c>
      <c r="F6" t="inlineStr">
        <is>
          <t>Separar ya pagado vs pendiente.</t>
        </is>
      </c>
    </row>
    <row r="7">
      <c r="A7" t="inlineStr">
        <is>
          <t>Financiación</t>
        </is>
      </c>
      <c r="B7" t="inlineStr">
        <is>
          <t>Préstamos de socios existentes y condiciones</t>
        </is>
      </c>
      <c r="C7" t="inlineStr">
        <is>
          <t>Pendiente</t>
        </is>
      </c>
      <c r="D7" t="inlineStr">
        <is>
          <t>Sergi</t>
        </is>
      </c>
      <c r="E7" t="inlineStr">
        <is>
          <t>Caja_Deuda</t>
        </is>
      </c>
      <c r="F7" t="inlineStr">
        <is>
          <t>Importe, interés, plazo, prioridad de cobro.</t>
        </is>
      </c>
    </row>
    <row r="8">
      <c r="A8" t="inlineStr">
        <is>
          <t>Comercial</t>
        </is>
      </c>
      <c r="B8" t="inlineStr">
        <is>
          <t>Preinscripciones reales, descargas app, tarjetas activas</t>
        </is>
      </c>
      <c r="C8" t="inlineStr">
        <is>
          <t>Pendiente</t>
        </is>
      </c>
      <c r="D8" t="inlineStr">
        <is>
          <t>Sergi</t>
        </is>
      </c>
      <c r="E8" t="inlineStr">
        <is>
          <t>Socios_36M</t>
        </is>
      </c>
      <c r="F8" t="inlineStr">
        <is>
          <t>Base para defender socios iniciales.</t>
        </is>
      </c>
    </row>
    <row r="9">
      <c r="A9" t="inlineStr">
        <is>
          <t>Ingresos</t>
        </is>
      </c>
      <c r="B9" t="inlineStr">
        <is>
          <t>Precio por cuota, promociones fundadores, coaching y extras</t>
        </is>
      </c>
      <c r="C9" t="inlineStr">
        <is>
          <t>Pendiente</t>
        </is>
      </c>
      <c r="D9" t="inlineStr">
        <is>
          <t>Sergi</t>
        </is>
      </c>
      <c r="E9" t="inlineStr">
        <is>
          <t>Inputs / PnL</t>
        </is>
      </c>
      <c r="F9" t="inlineStr">
        <is>
          <t>Separar precio con IVA y neto.</t>
        </is>
      </c>
    </row>
    <row r="10">
      <c r="A10" t="inlineStr">
        <is>
          <t>Costes</t>
        </is>
      </c>
      <c r="B10" t="inlineStr">
        <is>
          <t>Coste mensual real estimado de alquiler/leasing, luz, agua, limpieza, seguro, app, gestoría</t>
        </is>
      </c>
      <c r="C10" t="inlineStr">
        <is>
          <t>Pendiente</t>
        </is>
      </c>
      <c r="D10" t="inlineStr">
        <is>
          <t>Sergi</t>
        </is>
      </c>
      <c r="E10" t="inlineStr">
        <is>
          <t>PnL / Caja</t>
        </is>
      </c>
      <c r="F10" t="inlineStr">
        <is>
          <t>Validar el objetivo de 10.000 €/mes.</t>
        </is>
      </c>
    </row>
    <row r="11">
      <c r="A11" t="inlineStr">
        <is>
          <t>Legal</t>
        </is>
      </c>
      <c r="B11" t="inlineStr">
        <is>
          <t>Borrador pacto socios / term sheet inversor</t>
        </is>
      </c>
      <c r="C11" t="inlineStr">
        <is>
          <t>Pendiente</t>
        </is>
      </c>
      <c r="D11" t="inlineStr">
        <is>
          <t>Abogada</t>
        </is>
      </c>
      <c r="E11" t="inlineStr">
        <is>
          <t>Dossier inversor</t>
        </is>
      </c>
      <c r="F11" t="inlineStr">
        <is>
          <t>No enviar capital sin pacto de socios.</t>
        </is>
      </c>
    </row>
    <row r="12">
      <c r="A12" t="inlineStr">
        <is>
          <t>Prestamista</t>
        </is>
      </c>
      <c r="B12" t="inlineStr">
        <is>
          <t>Contrato préstamo privado y calendario de pagos</t>
        </is>
      </c>
      <c r="C12" t="inlineStr">
        <is>
          <t>Pendiente</t>
        </is>
      </c>
      <c r="D12" t="inlineStr">
        <is>
          <t>Abogada/Gestor</t>
        </is>
      </c>
      <c r="E12" t="inlineStr">
        <is>
          <t>Caja_Deuda</t>
        </is>
      </c>
      <c r="F12" t="inlineStr">
        <is>
          <t>Separar deuda de entrada en capital.</t>
        </is>
      </c>
    </row>
    <row r="13">
      <c r="A13" t="inlineStr">
        <is>
          <t>Valoración</t>
        </is>
      </c>
      <c r="B13" t="inlineStr">
        <is>
          <t>Revisión final de valoración pre-money y % ofrecido</t>
        </is>
      </c>
      <c r="C13" t="inlineStr">
        <is>
          <t>Pendiente</t>
        </is>
      </c>
      <c r="D13" t="inlineStr">
        <is>
          <t>Sergi</t>
        </is>
      </c>
      <c r="E13" t="inlineStr">
        <is>
          <t>Valoracion / CapTable</t>
        </is>
      </c>
      <c r="F13" t="inlineStr">
        <is>
          <t>Definir rango, no una cifra única.</t>
        </is>
      </c>
    </row>
  </sheetData>
  <mergeCells count="1">
    <mergeCell ref="A1:F1"/>
  </mergeCells>
  <dataValidations count="1">
    <dataValidation sqref="C4:C13" showDropDown="0" showInputMessage="0" showErrorMessage="0" allowBlank="0" type="list">
      <formula1>"Pendiente,En curso,Hecho,No aplica"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2026-07-09T15:15:12Z</dcterms:created>
  <dcterms:modified xsi:type="dcterms:W3CDTF">2026-07-09T15:16:34Z</dcterms:modified>
</cp:coreProperties>
</file>